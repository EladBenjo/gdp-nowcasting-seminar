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SMKLKALA\Macro and Forecasting Team\Forecasts\Nowcasting\Yotam Nowcasting Model\"/>
    </mc:Choice>
  </mc:AlternateContent>
  <xr:revisionPtr revIDLastSave="0" documentId="13_ncr:1_{418822AC-F2D8-4625-9A10-1AD048C15376}" xr6:coauthVersionLast="47" xr6:coauthVersionMax="47" xr10:uidLastSave="{00000000-0000-0000-0000-000000000000}"/>
  <bookViews>
    <workbookView xWindow="28680" yWindow="1950" windowWidth="25440" windowHeight="15390" activeTab="1" xr2:uid="{9A2400CF-9739-49AA-967B-53768976FD60}"/>
  </bookViews>
  <sheets>
    <sheet name="Data" sheetId="3" r:id="rId1"/>
    <sheet name="Monthly" sheetId="1" r:id="rId2"/>
    <sheet name="Quarterly" sheetId="4" r:id="rId3"/>
  </sheets>
  <externalReferences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09" i="1" l="1"/>
  <c r="AE209" i="1"/>
  <c r="AD210" i="1"/>
  <c r="AE210" i="1"/>
  <c r="AD211" i="1"/>
  <c r="AE211" i="1"/>
  <c r="AD212" i="1"/>
  <c r="AE212" i="1"/>
  <c r="AD213" i="1"/>
  <c r="AE213" i="1"/>
  <c r="AD214" i="1"/>
  <c r="AE214" i="1"/>
  <c r="AD215" i="1"/>
  <c r="AE215" i="1"/>
  <c r="AD216" i="1"/>
  <c r="AE216" i="1"/>
  <c r="AD217" i="1"/>
  <c r="AE217" i="1"/>
  <c r="AD218" i="1"/>
  <c r="AE218" i="1"/>
  <c r="AD219" i="1"/>
  <c r="AE219" i="1"/>
  <c r="AD220" i="1"/>
  <c r="AE220" i="1"/>
  <c r="AD221" i="1"/>
  <c r="AE221" i="1"/>
  <c r="AD222" i="1"/>
  <c r="AE222" i="1"/>
  <c r="AD223" i="1"/>
  <c r="AE223" i="1"/>
  <c r="AD224" i="1"/>
  <c r="AE224" i="1"/>
  <c r="AD225" i="1"/>
  <c r="AE225" i="1"/>
  <c r="AD226" i="1"/>
  <c r="AE226" i="1"/>
  <c r="AD227" i="1"/>
  <c r="AE227" i="1"/>
  <c r="AD228" i="1"/>
  <c r="AE228" i="1"/>
  <c r="AD229" i="1"/>
  <c r="AE229" i="1"/>
  <c r="AD230" i="1"/>
  <c r="AE230" i="1"/>
  <c r="AD231" i="1"/>
  <c r="AE231" i="1"/>
  <c r="AD232" i="1"/>
  <c r="AE232" i="1"/>
  <c r="AD233" i="1"/>
  <c r="AE233" i="1"/>
  <c r="AD234" i="1"/>
  <c r="AE234" i="1"/>
  <c r="AD235" i="1"/>
  <c r="AE235" i="1"/>
  <c r="AD236" i="1"/>
  <c r="AE236" i="1"/>
  <c r="AD237" i="1"/>
  <c r="AE237" i="1"/>
  <c r="AD238" i="1"/>
  <c r="AE238" i="1"/>
  <c r="AD239" i="1"/>
  <c r="AE239" i="1"/>
  <c r="AD240" i="1"/>
  <c r="AE240" i="1"/>
  <c r="AD241" i="1"/>
  <c r="AE241" i="1"/>
  <c r="AD242" i="1"/>
  <c r="AE242" i="1"/>
  <c r="AD243" i="1"/>
  <c r="AE243" i="1"/>
  <c r="AD244" i="1"/>
  <c r="AE244" i="1"/>
  <c r="AD245" i="1"/>
  <c r="AE245" i="1"/>
  <c r="AD246" i="1"/>
  <c r="AE246" i="1"/>
  <c r="AD247" i="1"/>
  <c r="AE247" i="1"/>
  <c r="AD248" i="1"/>
  <c r="AE248" i="1"/>
  <c r="AD249" i="1"/>
  <c r="AE249" i="1"/>
  <c r="AD250" i="1"/>
  <c r="AE250" i="1"/>
  <c r="AD251" i="1"/>
  <c r="AE251" i="1"/>
  <c r="AD252" i="1"/>
  <c r="AE252" i="1"/>
  <c r="AD253" i="1"/>
  <c r="AE253" i="1"/>
  <c r="AD254" i="1"/>
  <c r="AE254" i="1"/>
  <c r="AD255" i="1"/>
  <c r="AE255" i="1"/>
  <c r="AD256" i="1"/>
  <c r="AE256" i="1"/>
  <c r="AD257" i="1"/>
  <c r="AE257" i="1"/>
  <c r="AD258" i="1"/>
  <c r="AE258" i="1"/>
  <c r="AD259" i="1"/>
  <c r="AE259" i="1"/>
  <c r="AD260" i="1"/>
  <c r="AE260" i="1"/>
  <c r="AD261" i="1"/>
  <c r="AE261" i="1"/>
  <c r="AD262" i="1"/>
  <c r="AE262" i="1"/>
  <c r="AD263" i="1"/>
  <c r="AE263" i="1"/>
  <c r="AD264" i="1"/>
  <c r="AE264" i="1"/>
  <c r="AD265" i="1"/>
  <c r="AE265" i="1"/>
  <c r="AD266" i="1"/>
  <c r="AE266" i="1"/>
  <c r="AD267" i="1"/>
  <c r="AE267" i="1"/>
  <c r="AD268" i="1"/>
  <c r="AE268" i="1"/>
  <c r="AD269" i="1"/>
  <c r="AE269" i="1"/>
  <c r="AD270" i="1"/>
  <c r="AE270" i="1"/>
  <c r="AD271" i="1"/>
  <c r="AE271" i="1"/>
  <c r="AD272" i="1"/>
  <c r="AE272" i="1"/>
  <c r="AD273" i="1"/>
  <c r="AE273" i="1"/>
  <c r="AD274" i="1"/>
  <c r="AE274" i="1"/>
  <c r="AD275" i="1"/>
  <c r="AE275" i="1"/>
  <c r="AD276" i="1"/>
  <c r="AE276" i="1"/>
  <c r="AD277" i="1"/>
  <c r="AE277" i="1"/>
  <c r="AD278" i="1"/>
  <c r="AE278" i="1"/>
  <c r="AD279" i="1"/>
  <c r="AE279" i="1"/>
  <c r="AD280" i="1"/>
  <c r="AE280" i="1"/>
  <c r="AD281" i="1"/>
  <c r="AE281" i="1"/>
  <c r="AD282" i="1"/>
  <c r="AE282" i="1"/>
  <c r="AD283" i="1"/>
  <c r="AE283" i="1"/>
  <c r="AD284" i="1"/>
  <c r="AE284" i="1"/>
  <c r="AD285" i="1"/>
  <c r="AE285" i="1"/>
  <c r="AD286" i="1"/>
  <c r="AE286" i="1"/>
  <c r="AD287" i="1"/>
  <c r="AE287" i="1"/>
  <c r="AD288" i="1"/>
  <c r="AE288" i="1"/>
  <c r="AD289" i="1"/>
  <c r="AE289" i="1"/>
  <c r="AD290" i="1"/>
  <c r="AE290" i="1"/>
  <c r="AD291" i="1"/>
  <c r="AE291" i="1"/>
  <c r="AD292" i="1"/>
  <c r="AE292" i="1"/>
  <c r="AD293" i="1"/>
  <c r="AE293" i="1"/>
  <c r="AD294" i="1"/>
  <c r="AE294" i="1"/>
  <c r="AD295" i="1"/>
  <c r="AE295" i="1"/>
  <c r="AD296" i="1"/>
  <c r="AE296" i="1"/>
  <c r="AD297" i="1"/>
  <c r="AE297" i="1"/>
  <c r="AD298" i="1"/>
  <c r="AE298" i="1"/>
  <c r="AD299" i="1"/>
  <c r="AE299" i="1"/>
  <c r="AD300" i="1"/>
  <c r="AE300" i="1"/>
  <c r="AD301" i="1"/>
  <c r="AE301" i="1"/>
  <c r="AD302" i="1"/>
  <c r="AE302" i="1"/>
  <c r="AD303" i="1"/>
  <c r="AE303" i="1"/>
  <c r="AD304" i="1"/>
  <c r="AE304" i="1"/>
  <c r="AD305" i="1"/>
  <c r="AE305" i="1"/>
  <c r="AD306" i="1"/>
  <c r="AE306" i="1"/>
  <c r="AD307" i="1"/>
  <c r="AE307" i="1"/>
  <c r="AD308" i="1"/>
  <c r="AE308" i="1"/>
  <c r="AD309" i="1"/>
  <c r="AE309" i="1"/>
  <c r="AD310" i="1"/>
  <c r="AE310" i="1"/>
  <c r="AD311" i="1"/>
  <c r="AE311" i="1"/>
  <c r="AD312" i="1"/>
  <c r="AE312" i="1"/>
  <c r="AD313" i="1"/>
  <c r="AE313" i="1"/>
  <c r="AD314" i="1"/>
  <c r="AE314" i="1"/>
  <c r="AD315" i="1"/>
  <c r="AE315" i="1"/>
  <c r="AD316" i="1"/>
  <c r="AE316" i="1"/>
  <c r="AD317" i="1"/>
  <c r="AE317" i="1"/>
  <c r="AD318" i="1"/>
  <c r="AE318" i="1"/>
  <c r="AD319" i="1"/>
  <c r="AE319" i="1"/>
  <c r="AD320" i="1"/>
  <c r="AE320" i="1"/>
  <c r="AD321" i="1"/>
  <c r="AE321" i="1"/>
  <c r="AD322" i="1"/>
  <c r="AE322" i="1"/>
  <c r="AD323" i="1"/>
  <c r="AE323" i="1"/>
  <c r="AD324" i="1"/>
  <c r="AE324" i="1"/>
  <c r="AD325" i="1"/>
  <c r="AE325" i="1"/>
  <c r="AD326" i="1"/>
  <c r="AE326" i="1"/>
  <c r="AD327" i="1"/>
  <c r="AE327" i="1"/>
  <c r="AD328" i="1"/>
  <c r="AE328" i="1"/>
  <c r="AD329" i="1"/>
  <c r="AE329" i="1"/>
  <c r="AD330" i="1"/>
  <c r="AE330" i="1"/>
  <c r="AD331" i="1"/>
  <c r="AE331" i="1"/>
  <c r="AD332" i="1"/>
  <c r="AE332" i="1"/>
  <c r="AD333" i="1"/>
  <c r="AE333" i="1"/>
  <c r="AD334" i="1"/>
  <c r="AE334" i="1"/>
  <c r="AD335" i="1"/>
  <c r="AE335" i="1"/>
  <c r="AD336" i="1"/>
  <c r="AE336" i="1"/>
  <c r="AD337" i="1"/>
  <c r="AE337" i="1"/>
  <c r="AD338" i="1"/>
  <c r="AE338" i="1"/>
  <c r="AD339" i="1"/>
  <c r="AE339" i="1"/>
  <c r="AD340" i="1"/>
  <c r="AE340" i="1"/>
  <c r="AD341" i="1"/>
  <c r="AE341" i="1"/>
  <c r="AD342" i="1"/>
  <c r="AE342" i="1"/>
  <c r="AD343" i="1"/>
  <c r="AE343" i="1"/>
  <c r="AD344" i="1"/>
  <c r="AE344" i="1"/>
  <c r="AD345" i="1"/>
  <c r="AE345" i="1"/>
  <c r="AD346" i="1"/>
  <c r="AE346" i="1"/>
  <c r="AD347" i="1"/>
  <c r="AE347" i="1"/>
  <c r="AD348" i="1"/>
  <c r="AE348" i="1"/>
  <c r="AD349" i="1"/>
  <c r="AE349" i="1"/>
  <c r="AD350" i="1"/>
  <c r="AE350" i="1"/>
  <c r="AD351" i="1"/>
  <c r="AE351" i="1"/>
  <c r="AD352" i="1"/>
  <c r="AE352" i="1"/>
  <c r="AD353" i="1"/>
  <c r="AE353" i="1"/>
  <c r="AD354" i="1"/>
  <c r="AE354" i="1"/>
  <c r="AD355" i="1"/>
  <c r="AE355" i="1"/>
  <c r="AD356" i="1"/>
  <c r="AE356" i="1"/>
  <c r="AD357" i="1"/>
  <c r="AE357" i="1"/>
  <c r="AD358" i="1"/>
  <c r="AE358" i="1"/>
  <c r="AD359" i="1"/>
  <c r="AE359" i="1"/>
  <c r="AD360" i="1"/>
  <c r="AE360" i="1"/>
  <c r="AD361" i="1"/>
  <c r="AE361" i="1"/>
  <c r="AD362" i="1"/>
  <c r="AE362" i="1"/>
  <c r="AD363" i="1"/>
  <c r="AE363" i="1"/>
  <c r="AD364" i="1"/>
  <c r="AE364" i="1"/>
  <c r="AD365" i="1"/>
  <c r="AE365" i="1"/>
  <c r="AD366" i="1"/>
  <c r="AE366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211" i="1"/>
  <c r="AC212" i="1"/>
  <c r="AC213" i="1"/>
  <c r="AC210" i="1"/>
  <c r="AC209" i="1"/>
  <c r="X20" i="1" l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19" i="1"/>
  <c r="X18" i="1"/>
  <c r="X17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AA58" i="1"/>
  <c r="AB58" i="1"/>
  <c r="AA59" i="1"/>
  <c r="AB59" i="1"/>
  <c r="AA60" i="1"/>
  <c r="AB60" i="1"/>
  <c r="AA61" i="1"/>
  <c r="AB61" i="1"/>
  <c r="AA62" i="1"/>
  <c r="AB62" i="1"/>
  <c r="AA63" i="1"/>
  <c r="AB63" i="1"/>
  <c r="AA64" i="1"/>
  <c r="AB64" i="1"/>
  <c r="AA65" i="1"/>
  <c r="AB65" i="1"/>
  <c r="AA66" i="1"/>
  <c r="AB66" i="1"/>
  <c r="AA67" i="1"/>
  <c r="AB67" i="1"/>
  <c r="AA68" i="1"/>
  <c r="AB68" i="1"/>
  <c r="AA69" i="1"/>
  <c r="AB69" i="1"/>
  <c r="AA70" i="1"/>
  <c r="AB70" i="1"/>
  <c r="AA71" i="1"/>
  <c r="AB71" i="1"/>
  <c r="AA72" i="1"/>
  <c r="AB72" i="1"/>
  <c r="AA73" i="1"/>
  <c r="AB73" i="1"/>
  <c r="AA74" i="1"/>
  <c r="AB74" i="1"/>
  <c r="AA75" i="1"/>
  <c r="AB75" i="1"/>
  <c r="AA76" i="1"/>
  <c r="AB76" i="1"/>
  <c r="AA77" i="1"/>
  <c r="AB77" i="1"/>
  <c r="AA78" i="1"/>
  <c r="AB78" i="1"/>
  <c r="AA79" i="1"/>
  <c r="AB79" i="1"/>
  <c r="AA80" i="1"/>
  <c r="AB80" i="1"/>
  <c r="AA81" i="1"/>
  <c r="AB81" i="1"/>
  <c r="AA82" i="1"/>
  <c r="AB82" i="1"/>
  <c r="AA83" i="1"/>
  <c r="AB83" i="1"/>
  <c r="AA84" i="1"/>
  <c r="AB84" i="1"/>
  <c r="AA85" i="1"/>
  <c r="AB85" i="1"/>
  <c r="AA86" i="1"/>
  <c r="AB86" i="1"/>
  <c r="AA87" i="1"/>
  <c r="AB87" i="1"/>
  <c r="AA88" i="1"/>
  <c r="AB88" i="1"/>
  <c r="AA89" i="1"/>
  <c r="AB89" i="1"/>
  <c r="AA90" i="1"/>
  <c r="AB90" i="1"/>
  <c r="AA91" i="1"/>
  <c r="AB91" i="1"/>
  <c r="AA92" i="1"/>
  <c r="AB92" i="1"/>
  <c r="AA93" i="1"/>
  <c r="AB93" i="1"/>
  <c r="AA94" i="1"/>
  <c r="AB94" i="1"/>
  <c r="AA95" i="1"/>
  <c r="AB95" i="1"/>
  <c r="AA96" i="1"/>
  <c r="AB96" i="1"/>
  <c r="AA97" i="1"/>
  <c r="AB97" i="1"/>
  <c r="AA98" i="1"/>
  <c r="AB98" i="1"/>
  <c r="AA99" i="1"/>
  <c r="AB99" i="1"/>
  <c r="AA100" i="1"/>
  <c r="AB100" i="1"/>
  <c r="AA101" i="1"/>
  <c r="AB101" i="1"/>
  <c r="AA102" i="1"/>
  <c r="AB102" i="1"/>
  <c r="AA103" i="1"/>
  <c r="AB103" i="1"/>
  <c r="AA104" i="1"/>
  <c r="AB104" i="1"/>
  <c r="AA105" i="1"/>
  <c r="AB105" i="1"/>
  <c r="AA106" i="1"/>
  <c r="AB106" i="1"/>
  <c r="AA107" i="1"/>
  <c r="AB107" i="1"/>
  <c r="AA108" i="1"/>
  <c r="AB108" i="1"/>
  <c r="AA109" i="1"/>
  <c r="AB109" i="1"/>
  <c r="AA110" i="1"/>
  <c r="AB110" i="1"/>
  <c r="AA111" i="1"/>
  <c r="AB111" i="1"/>
  <c r="AA112" i="1"/>
  <c r="AB112" i="1"/>
  <c r="AA113" i="1"/>
  <c r="AB113" i="1"/>
  <c r="AA114" i="1"/>
  <c r="AB114" i="1"/>
  <c r="AA115" i="1"/>
  <c r="AB115" i="1"/>
  <c r="AA116" i="1"/>
  <c r="AB116" i="1"/>
  <c r="AA117" i="1"/>
  <c r="AB117" i="1"/>
  <c r="AA118" i="1"/>
  <c r="AB118" i="1"/>
  <c r="AA119" i="1"/>
  <c r="AB119" i="1"/>
  <c r="AA120" i="1"/>
  <c r="AB120" i="1"/>
  <c r="AA121" i="1"/>
  <c r="AB121" i="1"/>
  <c r="AA122" i="1"/>
  <c r="AB122" i="1"/>
  <c r="AA123" i="1"/>
  <c r="AB123" i="1"/>
  <c r="AA124" i="1"/>
  <c r="AB124" i="1"/>
  <c r="AA125" i="1"/>
  <c r="AB125" i="1"/>
  <c r="AA126" i="1"/>
  <c r="AB126" i="1"/>
  <c r="AA127" i="1"/>
  <c r="AB127" i="1"/>
  <c r="AA128" i="1"/>
  <c r="AB128" i="1"/>
  <c r="AA129" i="1"/>
  <c r="AB129" i="1"/>
  <c r="AA130" i="1"/>
  <c r="AB130" i="1"/>
  <c r="AA131" i="1"/>
  <c r="AB131" i="1"/>
  <c r="AA132" i="1"/>
  <c r="AB132" i="1"/>
  <c r="AA133" i="1"/>
  <c r="AB133" i="1"/>
  <c r="AA134" i="1"/>
  <c r="AB134" i="1"/>
  <c r="AA135" i="1"/>
  <c r="AB135" i="1"/>
  <c r="AA136" i="1"/>
  <c r="AB136" i="1"/>
  <c r="AA137" i="1"/>
  <c r="AB137" i="1"/>
  <c r="AA138" i="1"/>
  <c r="AB138" i="1"/>
  <c r="AA139" i="1"/>
  <c r="AB139" i="1"/>
  <c r="AA140" i="1"/>
  <c r="AB140" i="1"/>
  <c r="AA141" i="1"/>
  <c r="AB141" i="1"/>
  <c r="AA142" i="1"/>
  <c r="AB142" i="1"/>
  <c r="AA143" i="1"/>
  <c r="AB143" i="1"/>
  <c r="AA144" i="1"/>
  <c r="AB144" i="1"/>
  <c r="AA145" i="1"/>
  <c r="AB145" i="1"/>
  <c r="AA146" i="1"/>
  <c r="AB146" i="1"/>
  <c r="AA147" i="1"/>
  <c r="AB147" i="1"/>
  <c r="AA148" i="1"/>
  <c r="AB148" i="1"/>
  <c r="AA149" i="1"/>
  <c r="AB149" i="1"/>
  <c r="AA150" i="1"/>
  <c r="AB150" i="1"/>
  <c r="AA151" i="1"/>
  <c r="AB151" i="1"/>
  <c r="AA152" i="1"/>
  <c r="AB152" i="1"/>
  <c r="AA153" i="1"/>
  <c r="AB153" i="1"/>
  <c r="AA154" i="1"/>
  <c r="AB154" i="1"/>
  <c r="AA155" i="1"/>
  <c r="AB155" i="1"/>
  <c r="AA156" i="1"/>
  <c r="AB156" i="1"/>
  <c r="AA157" i="1"/>
  <c r="AB157" i="1"/>
  <c r="AA158" i="1"/>
  <c r="AB158" i="1"/>
  <c r="AA159" i="1"/>
  <c r="AB159" i="1"/>
  <c r="AA160" i="1"/>
  <c r="AB160" i="1"/>
  <c r="AA161" i="1"/>
  <c r="AB161" i="1"/>
  <c r="AA162" i="1"/>
  <c r="AB162" i="1"/>
  <c r="AA163" i="1"/>
  <c r="AB163" i="1"/>
  <c r="AA164" i="1"/>
  <c r="AB164" i="1"/>
  <c r="AA165" i="1"/>
  <c r="AB165" i="1"/>
  <c r="AA166" i="1"/>
  <c r="AB166" i="1"/>
  <c r="AA167" i="1"/>
  <c r="AB167" i="1"/>
  <c r="AA168" i="1"/>
  <c r="AB168" i="1"/>
  <c r="AA169" i="1"/>
  <c r="AB169" i="1"/>
  <c r="AA170" i="1"/>
  <c r="AB170" i="1"/>
  <c r="AA171" i="1"/>
  <c r="AB171" i="1"/>
  <c r="AA172" i="1"/>
  <c r="AB172" i="1"/>
  <c r="AA173" i="1"/>
  <c r="AB173" i="1"/>
  <c r="AA174" i="1"/>
  <c r="AB174" i="1"/>
  <c r="AA175" i="1"/>
  <c r="AB175" i="1"/>
  <c r="AA176" i="1"/>
  <c r="AB176" i="1"/>
  <c r="AA177" i="1"/>
  <c r="AB177" i="1"/>
  <c r="AA178" i="1"/>
  <c r="AB178" i="1"/>
  <c r="AA179" i="1"/>
  <c r="AB179" i="1"/>
  <c r="AA180" i="1"/>
  <c r="AB180" i="1"/>
  <c r="AA181" i="1"/>
  <c r="AB181" i="1"/>
  <c r="AA182" i="1"/>
  <c r="AB182" i="1"/>
  <c r="AA183" i="1"/>
  <c r="AB183" i="1"/>
  <c r="AA184" i="1"/>
  <c r="AB184" i="1"/>
  <c r="AA185" i="1"/>
  <c r="AB185" i="1"/>
  <c r="AA186" i="1"/>
  <c r="AB186" i="1"/>
  <c r="AA187" i="1"/>
  <c r="AB187" i="1"/>
  <c r="AA188" i="1"/>
  <c r="AB188" i="1"/>
  <c r="AA189" i="1"/>
  <c r="AB189" i="1"/>
  <c r="AA190" i="1"/>
  <c r="AB190" i="1"/>
  <c r="AA191" i="1"/>
  <c r="AB191" i="1"/>
  <c r="AA192" i="1"/>
  <c r="AB192" i="1"/>
  <c r="AA193" i="1"/>
  <c r="AB193" i="1"/>
  <c r="AA194" i="1"/>
  <c r="AB194" i="1"/>
  <c r="AA195" i="1"/>
  <c r="AB195" i="1"/>
  <c r="AA196" i="1"/>
  <c r="AB196" i="1"/>
  <c r="AA197" i="1"/>
  <c r="AB197" i="1"/>
  <c r="AA198" i="1"/>
  <c r="AB198" i="1"/>
  <c r="AA199" i="1"/>
  <c r="AB199" i="1"/>
  <c r="AA200" i="1"/>
  <c r="AB200" i="1"/>
  <c r="AA201" i="1"/>
  <c r="AB201" i="1"/>
  <c r="AA202" i="1"/>
  <c r="AB202" i="1"/>
  <c r="AA203" i="1"/>
  <c r="AB203" i="1"/>
  <c r="AA204" i="1"/>
  <c r="AB204" i="1"/>
  <c r="AA205" i="1"/>
  <c r="AB205" i="1"/>
  <c r="AA206" i="1"/>
  <c r="AB206" i="1"/>
  <c r="AA207" i="1"/>
  <c r="AB207" i="1"/>
  <c r="AA208" i="1"/>
  <c r="AB208" i="1"/>
  <c r="AA209" i="1"/>
  <c r="AB209" i="1"/>
  <c r="AA210" i="1"/>
  <c r="AB210" i="1"/>
  <c r="AA211" i="1"/>
  <c r="AB211" i="1"/>
  <c r="AA212" i="1"/>
  <c r="AB212" i="1"/>
  <c r="AA213" i="1"/>
  <c r="AB213" i="1"/>
  <c r="AA214" i="1"/>
  <c r="AB214" i="1"/>
  <c r="AA215" i="1"/>
  <c r="AB215" i="1"/>
  <c r="AA216" i="1"/>
  <c r="AB216" i="1"/>
  <c r="AA217" i="1"/>
  <c r="AB217" i="1"/>
  <c r="AA218" i="1"/>
  <c r="AB218" i="1"/>
  <c r="AA219" i="1"/>
  <c r="AB219" i="1"/>
  <c r="AA220" i="1"/>
  <c r="AB220" i="1"/>
  <c r="AA221" i="1"/>
  <c r="AB221" i="1"/>
  <c r="AA222" i="1"/>
  <c r="AB222" i="1"/>
  <c r="AA223" i="1"/>
  <c r="AB223" i="1"/>
  <c r="AA224" i="1"/>
  <c r="AB224" i="1"/>
  <c r="AA225" i="1"/>
  <c r="AB225" i="1"/>
  <c r="AA226" i="1"/>
  <c r="AB226" i="1"/>
  <c r="AA227" i="1"/>
  <c r="AB227" i="1"/>
  <c r="AA228" i="1"/>
  <c r="AB228" i="1"/>
  <c r="AA229" i="1"/>
  <c r="AB229" i="1"/>
  <c r="AA230" i="1"/>
  <c r="AB230" i="1"/>
  <c r="AA231" i="1"/>
  <c r="AB231" i="1"/>
  <c r="AA232" i="1"/>
  <c r="AB232" i="1"/>
  <c r="AA233" i="1"/>
  <c r="AB233" i="1"/>
  <c r="AA234" i="1"/>
  <c r="AB234" i="1"/>
  <c r="AA235" i="1"/>
  <c r="AB235" i="1"/>
  <c r="AA236" i="1"/>
  <c r="AB236" i="1"/>
  <c r="AA237" i="1"/>
  <c r="AB237" i="1"/>
  <c r="AA238" i="1"/>
  <c r="AB238" i="1"/>
  <c r="AA239" i="1"/>
  <c r="AB239" i="1"/>
  <c r="AA240" i="1"/>
  <c r="AB240" i="1"/>
  <c r="AA241" i="1"/>
  <c r="AB241" i="1"/>
  <c r="AA242" i="1"/>
  <c r="AB242" i="1"/>
  <c r="AA243" i="1"/>
  <c r="AB243" i="1"/>
  <c r="AA244" i="1"/>
  <c r="AB244" i="1"/>
  <c r="AA245" i="1"/>
  <c r="AB245" i="1"/>
  <c r="AA246" i="1"/>
  <c r="AB246" i="1"/>
  <c r="AA247" i="1"/>
  <c r="AB247" i="1"/>
  <c r="AA248" i="1"/>
  <c r="AB248" i="1"/>
  <c r="AA249" i="1"/>
  <c r="AB249" i="1"/>
  <c r="AA250" i="1"/>
  <c r="AB250" i="1"/>
  <c r="AA251" i="1"/>
  <c r="AB251" i="1"/>
  <c r="AA252" i="1"/>
  <c r="AB252" i="1"/>
  <c r="AA253" i="1"/>
  <c r="AB253" i="1"/>
  <c r="AA254" i="1"/>
  <c r="AB254" i="1"/>
  <c r="AA255" i="1"/>
  <c r="AB255" i="1"/>
  <c r="AA256" i="1"/>
  <c r="AB256" i="1"/>
  <c r="AA257" i="1"/>
  <c r="AB257" i="1"/>
  <c r="AA258" i="1"/>
  <c r="AB258" i="1"/>
  <c r="AA259" i="1"/>
  <c r="AB259" i="1"/>
  <c r="AA260" i="1"/>
  <c r="AB260" i="1"/>
  <c r="AA261" i="1"/>
  <c r="AB261" i="1"/>
  <c r="AA262" i="1"/>
  <c r="AB262" i="1"/>
  <c r="AA263" i="1"/>
  <c r="AB263" i="1"/>
  <c r="AA264" i="1"/>
  <c r="AB264" i="1"/>
  <c r="AA265" i="1"/>
  <c r="AB265" i="1"/>
  <c r="AA266" i="1"/>
  <c r="AB266" i="1"/>
  <c r="AA267" i="1"/>
  <c r="AB267" i="1"/>
  <c r="AA268" i="1"/>
  <c r="AB268" i="1"/>
  <c r="AA269" i="1"/>
  <c r="AB269" i="1"/>
  <c r="AA270" i="1"/>
  <c r="AB270" i="1"/>
  <c r="AA271" i="1"/>
  <c r="AB271" i="1"/>
  <c r="AA272" i="1"/>
  <c r="AB272" i="1"/>
  <c r="AA273" i="1"/>
  <c r="AB273" i="1"/>
  <c r="AA274" i="1"/>
  <c r="AB274" i="1"/>
  <c r="AA275" i="1"/>
  <c r="AB275" i="1"/>
  <c r="AA276" i="1"/>
  <c r="AB276" i="1"/>
  <c r="AA277" i="1"/>
  <c r="AB277" i="1"/>
  <c r="AA278" i="1"/>
  <c r="AB278" i="1"/>
  <c r="AA279" i="1"/>
  <c r="AB279" i="1"/>
  <c r="AA280" i="1"/>
  <c r="AB280" i="1"/>
  <c r="AA281" i="1"/>
  <c r="AB281" i="1"/>
  <c r="AA282" i="1"/>
  <c r="AB282" i="1"/>
  <c r="AA283" i="1"/>
  <c r="AB283" i="1"/>
  <c r="AA284" i="1"/>
  <c r="AB284" i="1"/>
  <c r="AA285" i="1"/>
  <c r="AB285" i="1"/>
  <c r="AA286" i="1"/>
  <c r="AB286" i="1"/>
  <c r="AA287" i="1"/>
  <c r="AB287" i="1"/>
  <c r="AA288" i="1"/>
  <c r="AB288" i="1"/>
  <c r="AA289" i="1"/>
  <c r="AB289" i="1"/>
  <c r="AA290" i="1"/>
  <c r="AB290" i="1"/>
  <c r="AA291" i="1"/>
  <c r="AB291" i="1"/>
  <c r="AA292" i="1"/>
  <c r="AB292" i="1"/>
  <c r="AA293" i="1"/>
  <c r="AB293" i="1"/>
  <c r="AA294" i="1"/>
  <c r="AB294" i="1"/>
  <c r="AA295" i="1"/>
  <c r="AB295" i="1"/>
  <c r="AA296" i="1"/>
  <c r="AB296" i="1"/>
  <c r="AA297" i="1"/>
  <c r="AB297" i="1"/>
  <c r="AA298" i="1"/>
  <c r="AB298" i="1"/>
  <c r="AA299" i="1"/>
  <c r="AB299" i="1"/>
  <c r="AA300" i="1"/>
  <c r="AB300" i="1"/>
  <c r="AA301" i="1"/>
  <c r="AB301" i="1"/>
  <c r="AA302" i="1"/>
  <c r="AB302" i="1"/>
  <c r="AA303" i="1"/>
  <c r="AB303" i="1"/>
  <c r="AA304" i="1"/>
  <c r="AB304" i="1"/>
  <c r="AA305" i="1"/>
  <c r="AB305" i="1"/>
  <c r="AA306" i="1"/>
  <c r="AB306" i="1"/>
  <c r="AA307" i="1"/>
  <c r="AB307" i="1"/>
  <c r="AA308" i="1"/>
  <c r="AB308" i="1"/>
  <c r="AA309" i="1"/>
  <c r="AB309" i="1"/>
  <c r="AA310" i="1"/>
  <c r="AB310" i="1"/>
  <c r="AA311" i="1"/>
  <c r="AB311" i="1"/>
  <c r="AA312" i="1"/>
  <c r="AB312" i="1"/>
  <c r="AA313" i="1"/>
  <c r="AB313" i="1"/>
  <c r="AA314" i="1"/>
  <c r="AB314" i="1"/>
  <c r="AA315" i="1"/>
  <c r="AB315" i="1"/>
  <c r="AA316" i="1"/>
  <c r="AB316" i="1"/>
  <c r="AA317" i="1"/>
  <c r="AB317" i="1"/>
  <c r="AA318" i="1"/>
  <c r="AB318" i="1"/>
  <c r="AA319" i="1"/>
  <c r="AB319" i="1"/>
  <c r="AA320" i="1"/>
  <c r="AB320" i="1"/>
  <c r="AA321" i="1"/>
  <c r="AB321" i="1"/>
  <c r="AA322" i="1"/>
  <c r="AB322" i="1"/>
  <c r="AA323" i="1"/>
  <c r="AB323" i="1"/>
  <c r="AA324" i="1"/>
  <c r="AB324" i="1"/>
  <c r="AA325" i="1"/>
  <c r="AB325" i="1"/>
  <c r="AA326" i="1"/>
  <c r="AB326" i="1"/>
  <c r="AA327" i="1"/>
  <c r="AB327" i="1"/>
  <c r="AA328" i="1"/>
  <c r="AB328" i="1"/>
  <c r="AA329" i="1"/>
  <c r="AB329" i="1"/>
  <c r="AA330" i="1"/>
  <c r="AB330" i="1"/>
  <c r="AA331" i="1"/>
  <c r="AB331" i="1"/>
  <c r="AA332" i="1"/>
  <c r="AB332" i="1"/>
  <c r="AA333" i="1"/>
  <c r="AB333" i="1"/>
  <c r="AA334" i="1"/>
  <c r="AB334" i="1"/>
  <c r="AA335" i="1"/>
  <c r="AB335" i="1"/>
  <c r="AA336" i="1"/>
  <c r="AB336" i="1"/>
  <c r="AA337" i="1"/>
  <c r="AB337" i="1"/>
  <c r="AA338" i="1"/>
  <c r="AB338" i="1"/>
  <c r="AA339" i="1"/>
  <c r="AB339" i="1"/>
  <c r="AA340" i="1"/>
  <c r="AB340" i="1"/>
  <c r="AA341" i="1"/>
  <c r="AB341" i="1"/>
  <c r="AA342" i="1"/>
  <c r="AB342" i="1"/>
  <c r="AA343" i="1"/>
  <c r="AB343" i="1"/>
  <c r="AA344" i="1"/>
  <c r="AB344" i="1"/>
  <c r="AA345" i="1"/>
  <c r="AB345" i="1"/>
  <c r="AA346" i="1"/>
  <c r="AB346" i="1"/>
  <c r="AA347" i="1"/>
  <c r="AB347" i="1"/>
  <c r="AA348" i="1"/>
  <c r="AB348" i="1"/>
  <c r="AA349" i="1"/>
  <c r="AB349" i="1"/>
  <c r="AA350" i="1"/>
  <c r="AB350" i="1"/>
  <c r="AA351" i="1"/>
  <c r="AB351" i="1"/>
  <c r="AA352" i="1"/>
  <c r="AB352" i="1"/>
  <c r="AA353" i="1"/>
  <c r="AB353" i="1"/>
  <c r="AA354" i="1"/>
  <c r="AB354" i="1"/>
  <c r="AA355" i="1"/>
  <c r="AB355" i="1"/>
  <c r="AA356" i="1"/>
  <c r="AB356" i="1"/>
  <c r="AA357" i="1"/>
  <c r="AB357" i="1"/>
  <c r="AA358" i="1"/>
  <c r="AB358" i="1"/>
  <c r="AA359" i="1"/>
  <c r="AB359" i="1"/>
  <c r="AA360" i="1"/>
  <c r="AB360" i="1"/>
  <c r="AA361" i="1"/>
  <c r="AB361" i="1"/>
  <c r="AA362" i="1"/>
  <c r="AB362" i="1"/>
  <c r="AA363" i="1"/>
  <c r="AB363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P367" i="1" l="1"/>
  <c r="Q367" i="1"/>
  <c r="R367" i="1"/>
  <c r="O367" i="1"/>
  <c r="E364" i="1" l="1"/>
  <c r="E365" i="1"/>
  <c r="E366" i="1"/>
  <c r="E367" i="1"/>
  <c r="B365" i="1"/>
  <c r="C365" i="1" s="1"/>
  <c r="D365" i="1"/>
  <c r="B366" i="1"/>
  <c r="C366" i="1" s="1"/>
  <c r="D366" i="1"/>
  <c r="B367" i="1"/>
  <c r="C367" i="1" s="1"/>
  <c r="D367" i="1"/>
  <c r="B125" i="4"/>
  <c r="C125" i="4"/>
  <c r="E348" i="1" l="1"/>
  <c r="E349" i="1"/>
  <c r="E350" i="1"/>
  <c r="E351" i="1"/>
  <c r="E352" i="1"/>
  <c r="E353" i="1"/>
  <c r="E362" i="1"/>
  <c r="E363" i="1"/>
  <c r="E361" i="1"/>
  <c r="B124" i="4"/>
  <c r="C124" i="4"/>
  <c r="B362" i="1" l="1"/>
  <c r="C362" i="1" s="1"/>
  <c r="D362" i="1"/>
  <c r="B363" i="1"/>
  <c r="C363" i="1" s="1"/>
  <c r="D363" i="1"/>
  <c r="B364" i="1"/>
  <c r="C364" i="1" s="1"/>
  <c r="D364" i="1"/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5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D361" i="1"/>
  <c r="B361" i="1"/>
  <c r="C361" i="1" s="1"/>
  <c r="D360" i="1"/>
  <c r="B360" i="1"/>
  <c r="C360" i="1" s="1"/>
  <c r="D359" i="1"/>
  <c r="B359" i="1"/>
  <c r="C359" i="1" s="1"/>
  <c r="D358" i="1"/>
  <c r="B358" i="1"/>
  <c r="C358" i="1" s="1"/>
  <c r="D357" i="1"/>
  <c r="B357" i="1"/>
  <c r="C357" i="1" s="1"/>
  <c r="D356" i="1"/>
  <c r="B356" i="1"/>
  <c r="C356" i="1" s="1"/>
  <c r="D355" i="1"/>
  <c r="B355" i="1"/>
  <c r="C355" i="1" s="1"/>
  <c r="D354" i="1"/>
  <c r="B354" i="1"/>
  <c r="C354" i="1" s="1"/>
  <c r="D353" i="1"/>
  <c r="B353" i="1"/>
  <c r="C353" i="1" s="1"/>
  <c r="D352" i="1"/>
  <c r="B352" i="1"/>
  <c r="C352" i="1" s="1"/>
  <c r="D351" i="1"/>
  <c r="B351" i="1"/>
  <c r="C351" i="1" s="1"/>
  <c r="D350" i="1"/>
  <c r="B350" i="1"/>
  <c r="C350" i="1" s="1"/>
  <c r="D349" i="1"/>
  <c r="B349" i="1"/>
  <c r="C349" i="1" s="1"/>
  <c r="D348" i="1"/>
  <c r="B348" i="1"/>
  <c r="C348" i="1" s="1"/>
  <c r="D347" i="1"/>
  <c r="B347" i="1"/>
  <c r="C347" i="1" s="1"/>
  <c r="D346" i="1"/>
  <c r="B346" i="1"/>
  <c r="C346" i="1" s="1"/>
  <c r="D345" i="1"/>
  <c r="B345" i="1"/>
  <c r="C345" i="1" s="1"/>
  <c r="D344" i="1"/>
  <c r="B344" i="1"/>
  <c r="C344" i="1" s="1"/>
  <c r="D343" i="1"/>
  <c r="B343" i="1"/>
  <c r="C343" i="1" s="1"/>
  <c r="D342" i="1"/>
  <c r="B342" i="1"/>
  <c r="C342" i="1" s="1"/>
  <c r="D341" i="1"/>
  <c r="B341" i="1"/>
  <c r="C341" i="1" s="1"/>
  <c r="D340" i="1"/>
  <c r="B340" i="1"/>
  <c r="C340" i="1" s="1"/>
  <c r="D339" i="1"/>
  <c r="B339" i="1"/>
  <c r="C339" i="1" s="1"/>
  <c r="D338" i="1"/>
  <c r="B338" i="1"/>
  <c r="C338" i="1" s="1"/>
  <c r="D337" i="1"/>
  <c r="B337" i="1"/>
  <c r="C337" i="1" s="1"/>
  <c r="D336" i="1"/>
  <c r="B336" i="1"/>
  <c r="C336" i="1" s="1"/>
  <c r="D335" i="1"/>
  <c r="B335" i="1"/>
  <c r="C335" i="1" s="1"/>
  <c r="D334" i="1"/>
  <c r="B334" i="1"/>
  <c r="C334" i="1" s="1"/>
  <c r="D333" i="1"/>
  <c r="B333" i="1"/>
  <c r="C333" i="1" s="1"/>
  <c r="D332" i="1"/>
  <c r="B332" i="1"/>
  <c r="C332" i="1" s="1"/>
  <c r="D331" i="1"/>
  <c r="B331" i="1"/>
  <c r="C331" i="1" s="1"/>
  <c r="D330" i="1"/>
  <c r="B330" i="1"/>
  <c r="C330" i="1" s="1"/>
  <c r="D329" i="1"/>
  <c r="B329" i="1"/>
  <c r="C329" i="1" s="1"/>
  <c r="D328" i="1"/>
  <c r="B328" i="1"/>
  <c r="C328" i="1" s="1"/>
  <c r="D327" i="1"/>
  <c r="B327" i="1"/>
  <c r="C327" i="1" s="1"/>
  <c r="D326" i="1"/>
  <c r="B326" i="1"/>
  <c r="C326" i="1" s="1"/>
  <c r="D325" i="1"/>
  <c r="B325" i="1"/>
  <c r="C325" i="1" s="1"/>
  <c r="D324" i="1"/>
  <c r="B324" i="1"/>
  <c r="C324" i="1" s="1"/>
  <c r="D323" i="1"/>
  <c r="B323" i="1"/>
  <c r="C323" i="1" s="1"/>
  <c r="D322" i="1"/>
  <c r="B322" i="1"/>
  <c r="C322" i="1" s="1"/>
  <c r="D321" i="1"/>
  <c r="B321" i="1"/>
  <c r="C321" i="1" s="1"/>
  <c r="D320" i="1"/>
  <c r="B320" i="1"/>
  <c r="C320" i="1" s="1"/>
  <c r="D319" i="1"/>
  <c r="B319" i="1"/>
  <c r="C319" i="1" s="1"/>
  <c r="D318" i="1"/>
  <c r="B318" i="1"/>
  <c r="C318" i="1" s="1"/>
  <c r="D317" i="1"/>
  <c r="B317" i="1"/>
  <c r="C317" i="1" s="1"/>
  <c r="D316" i="1"/>
  <c r="B316" i="1"/>
  <c r="C316" i="1" s="1"/>
  <c r="D315" i="1"/>
  <c r="B315" i="1"/>
  <c r="C315" i="1" s="1"/>
  <c r="D314" i="1"/>
  <c r="B314" i="1"/>
  <c r="C314" i="1" s="1"/>
  <c r="D313" i="1"/>
  <c r="B313" i="1"/>
  <c r="C313" i="1" s="1"/>
  <c r="D312" i="1"/>
  <c r="B312" i="1"/>
  <c r="C312" i="1" s="1"/>
  <c r="D311" i="1"/>
  <c r="B311" i="1"/>
  <c r="C311" i="1" s="1"/>
  <c r="D310" i="1"/>
  <c r="B310" i="1"/>
  <c r="C310" i="1" s="1"/>
  <c r="D309" i="1"/>
  <c r="B309" i="1"/>
  <c r="C309" i="1" s="1"/>
  <c r="D308" i="1"/>
  <c r="B308" i="1"/>
  <c r="C308" i="1" s="1"/>
  <c r="D307" i="1"/>
  <c r="B307" i="1"/>
  <c r="C307" i="1" s="1"/>
  <c r="D306" i="1"/>
  <c r="B306" i="1"/>
  <c r="C306" i="1" s="1"/>
  <c r="D305" i="1"/>
  <c r="B305" i="1"/>
  <c r="C305" i="1" s="1"/>
  <c r="D304" i="1"/>
  <c r="B304" i="1"/>
  <c r="C304" i="1" s="1"/>
  <c r="D303" i="1"/>
  <c r="B303" i="1"/>
  <c r="C303" i="1" s="1"/>
  <c r="D302" i="1"/>
  <c r="B302" i="1"/>
  <c r="C302" i="1" s="1"/>
  <c r="D301" i="1"/>
  <c r="B301" i="1"/>
  <c r="C301" i="1" s="1"/>
  <c r="D300" i="1"/>
  <c r="B300" i="1"/>
  <c r="C300" i="1" s="1"/>
  <c r="D299" i="1"/>
  <c r="B299" i="1"/>
  <c r="C299" i="1" s="1"/>
  <c r="D298" i="1"/>
  <c r="B298" i="1"/>
  <c r="C298" i="1" s="1"/>
  <c r="D297" i="1"/>
  <c r="B297" i="1"/>
  <c r="C297" i="1" s="1"/>
  <c r="D296" i="1"/>
  <c r="B296" i="1"/>
  <c r="C296" i="1" s="1"/>
  <c r="D295" i="1"/>
  <c r="B295" i="1"/>
  <c r="C295" i="1" s="1"/>
  <c r="D294" i="1"/>
  <c r="B294" i="1"/>
  <c r="C294" i="1" s="1"/>
  <c r="D293" i="1"/>
  <c r="B293" i="1"/>
  <c r="C293" i="1" s="1"/>
  <c r="D292" i="1"/>
  <c r="B292" i="1"/>
  <c r="C292" i="1" s="1"/>
  <c r="D291" i="1"/>
  <c r="B291" i="1"/>
  <c r="C291" i="1" s="1"/>
  <c r="D290" i="1"/>
  <c r="B290" i="1"/>
  <c r="C290" i="1" s="1"/>
  <c r="D289" i="1"/>
  <c r="B289" i="1"/>
  <c r="C289" i="1" s="1"/>
  <c r="D288" i="1"/>
  <c r="B288" i="1"/>
  <c r="C288" i="1" s="1"/>
  <c r="D287" i="1"/>
  <c r="B287" i="1"/>
  <c r="C287" i="1" s="1"/>
  <c r="D286" i="1"/>
  <c r="B286" i="1"/>
  <c r="C286" i="1" s="1"/>
  <c r="D285" i="1"/>
  <c r="B285" i="1"/>
  <c r="C285" i="1" s="1"/>
  <c r="D284" i="1"/>
  <c r="B284" i="1"/>
  <c r="C284" i="1" s="1"/>
  <c r="D283" i="1"/>
  <c r="B283" i="1"/>
  <c r="C283" i="1" s="1"/>
  <c r="D282" i="1"/>
  <c r="B282" i="1"/>
  <c r="C282" i="1" s="1"/>
  <c r="D281" i="1"/>
  <c r="B281" i="1"/>
  <c r="C281" i="1" s="1"/>
  <c r="D280" i="1"/>
  <c r="B280" i="1"/>
  <c r="C280" i="1" s="1"/>
  <c r="D279" i="1"/>
  <c r="B279" i="1"/>
  <c r="C279" i="1" s="1"/>
  <c r="D278" i="1"/>
  <c r="B278" i="1"/>
  <c r="C278" i="1" s="1"/>
  <c r="D277" i="1"/>
  <c r="B277" i="1"/>
  <c r="C277" i="1" s="1"/>
  <c r="D276" i="1"/>
  <c r="B276" i="1"/>
  <c r="C276" i="1" s="1"/>
  <c r="D275" i="1"/>
  <c r="B275" i="1"/>
  <c r="C275" i="1" s="1"/>
  <c r="D274" i="1"/>
  <c r="B274" i="1"/>
  <c r="C274" i="1" s="1"/>
  <c r="D273" i="1"/>
  <c r="B273" i="1"/>
  <c r="C273" i="1" s="1"/>
  <c r="D272" i="1"/>
  <c r="B272" i="1"/>
  <c r="C272" i="1" s="1"/>
  <c r="D271" i="1"/>
  <c r="B271" i="1"/>
  <c r="C271" i="1" s="1"/>
  <c r="D270" i="1"/>
  <c r="B270" i="1"/>
  <c r="C270" i="1" s="1"/>
  <c r="D269" i="1"/>
  <c r="B269" i="1"/>
  <c r="C269" i="1" s="1"/>
  <c r="D268" i="1"/>
  <c r="B268" i="1"/>
  <c r="C268" i="1" s="1"/>
  <c r="D267" i="1"/>
  <c r="B267" i="1"/>
  <c r="C267" i="1" s="1"/>
  <c r="D266" i="1"/>
  <c r="B266" i="1"/>
  <c r="C266" i="1" s="1"/>
  <c r="D265" i="1"/>
  <c r="B265" i="1"/>
  <c r="C265" i="1" s="1"/>
  <c r="D264" i="1"/>
  <c r="B264" i="1"/>
  <c r="C264" i="1" s="1"/>
  <c r="D263" i="1"/>
  <c r="B263" i="1"/>
  <c r="C263" i="1" s="1"/>
  <c r="D262" i="1"/>
  <c r="B262" i="1"/>
  <c r="C262" i="1" s="1"/>
  <c r="D261" i="1"/>
  <c r="B261" i="1"/>
  <c r="C261" i="1" s="1"/>
  <c r="D260" i="1"/>
  <c r="B260" i="1"/>
  <c r="C260" i="1" s="1"/>
  <c r="D259" i="1"/>
  <c r="B259" i="1"/>
  <c r="C259" i="1" s="1"/>
  <c r="D258" i="1"/>
  <c r="B258" i="1"/>
  <c r="C258" i="1" s="1"/>
  <c r="D257" i="1"/>
  <c r="B257" i="1"/>
  <c r="C257" i="1" s="1"/>
  <c r="D256" i="1"/>
  <c r="B256" i="1"/>
  <c r="C256" i="1" s="1"/>
  <c r="D255" i="1"/>
  <c r="B255" i="1"/>
  <c r="C255" i="1" s="1"/>
  <c r="D254" i="1"/>
  <c r="B254" i="1"/>
  <c r="C254" i="1" s="1"/>
  <c r="D253" i="1"/>
  <c r="B253" i="1"/>
  <c r="C253" i="1" s="1"/>
  <c r="D252" i="1"/>
  <c r="B252" i="1"/>
  <c r="C252" i="1" s="1"/>
  <c r="D251" i="1"/>
  <c r="B251" i="1"/>
  <c r="C251" i="1" s="1"/>
  <c r="D250" i="1"/>
  <c r="B250" i="1"/>
  <c r="C250" i="1" s="1"/>
  <c r="D249" i="1"/>
  <c r="B249" i="1"/>
  <c r="C249" i="1" s="1"/>
  <c r="D248" i="1"/>
  <c r="B248" i="1"/>
  <c r="C248" i="1" s="1"/>
  <c r="D247" i="1"/>
  <c r="B247" i="1"/>
  <c r="C247" i="1" s="1"/>
  <c r="D246" i="1"/>
  <c r="B246" i="1"/>
  <c r="C246" i="1" s="1"/>
  <c r="D245" i="1"/>
  <c r="B245" i="1"/>
  <c r="C245" i="1" s="1"/>
  <c r="D244" i="1"/>
  <c r="B244" i="1"/>
  <c r="C244" i="1" s="1"/>
  <c r="D243" i="1"/>
  <c r="B243" i="1"/>
  <c r="C243" i="1" s="1"/>
  <c r="D242" i="1"/>
  <c r="B242" i="1"/>
  <c r="C242" i="1" s="1"/>
  <c r="D241" i="1"/>
  <c r="B241" i="1"/>
  <c r="C241" i="1" s="1"/>
  <c r="D240" i="1"/>
  <c r="B240" i="1"/>
  <c r="C240" i="1" s="1"/>
  <c r="D239" i="1"/>
  <c r="B239" i="1"/>
  <c r="C239" i="1" s="1"/>
  <c r="D238" i="1"/>
  <c r="B238" i="1"/>
  <c r="C238" i="1" s="1"/>
  <c r="D237" i="1"/>
  <c r="B237" i="1"/>
  <c r="C237" i="1" s="1"/>
  <c r="D236" i="1"/>
  <c r="B236" i="1"/>
  <c r="C236" i="1" s="1"/>
  <c r="D235" i="1"/>
  <c r="B235" i="1"/>
  <c r="C235" i="1" s="1"/>
  <c r="D234" i="1"/>
  <c r="B234" i="1"/>
  <c r="C234" i="1" s="1"/>
  <c r="D233" i="1"/>
  <c r="B233" i="1"/>
  <c r="C233" i="1" s="1"/>
  <c r="D232" i="1"/>
  <c r="B232" i="1"/>
  <c r="C232" i="1" s="1"/>
  <c r="D231" i="1"/>
  <c r="B231" i="1"/>
  <c r="C231" i="1" s="1"/>
  <c r="D230" i="1"/>
  <c r="B230" i="1"/>
  <c r="C230" i="1" s="1"/>
  <c r="D229" i="1"/>
  <c r="B229" i="1"/>
  <c r="C229" i="1" s="1"/>
  <c r="D228" i="1"/>
  <c r="B228" i="1"/>
  <c r="C228" i="1" s="1"/>
  <c r="D227" i="1"/>
  <c r="B227" i="1"/>
  <c r="C227" i="1" s="1"/>
  <c r="D226" i="1"/>
  <c r="B226" i="1"/>
  <c r="C226" i="1" s="1"/>
  <c r="D225" i="1"/>
  <c r="B225" i="1"/>
  <c r="C225" i="1" s="1"/>
  <c r="D224" i="1"/>
  <c r="B224" i="1"/>
  <c r="C224" i="1" s="1"/>
  <c r="D223" i="1"/>
  <c r="B223" i="1"/>
  <c r="C223" i="1" s="1"/>
  <c r="D222" i="1"/>
  <c r="B222" i="1"/>
  <c r="C222" i="1" s="1"/>
  <c r="D221" i="1"/>
  <c r="B221" i="1"/>
  <c r="C221" i="1" s="1"/>
  <c r="D220" i="1"/>
  <c r="B220" i="1"/>
  <c r="C220" i="1" s="1"/>
  <c r="D219" i="1"/>
  <c r="B219" i="1"/>
  <c r="C219" i="1" s="1"/>
  <c r="D218" i="1"/>
  <c r="B218" i="1"/>
  <c r="C218" i="1" s="1"/>
  <c r="D217" i="1"/>
  <c r="B217" i="1"/>
  <c r="C217" i="1" s="1"/>
  <c r="D216" i="1"/>
  <c r="B216" i="1"/>
  <c r="C216" i="1" s="1"/>
  <c r="D215" i="1"/>
  <c r="B215" i="1"/>
  <c r="C215" i="1" s="1"/>
  <c r="D214" i="1"/>
  <c r="B214" i="1"/>
  <c r="C214" i="1" s="1"/>
  <c r="D213" i="1"/>
  <c r="B213" i="1"/>
  <c r="C213" i="1" s="1"/>
  <c r="D212" i="1"/>
  <c r="B212" i="1"/>
  <c r="C212" i="1" s="1"/>
  <c r="D211" i="1"/>
  <c r="B211" i="1"/>
  <c r="C211" i="1" s="1"/>
  <c r="D210" i="1"/>
  <c r="B210" i="1"/>
  <c r="C210" i="1" s="1"/>
  <c r="D209" i="1"/>
  <c r="B209" i="1"/>
  <c r="C209" i="1" s="1"/>
  <c r="D208" i="1"/>
  <c r="B208" i="1"/>
  <c r="C208" i="1" s="1"/>
  <c r="D207" i="1"/>
  <c r="B207" i="1"/>
  <c r="C207" i="1" s="1"/>
  <c r="D206" i="1"/>
  <c r="B206" i="1"/>
  <c r="C206" i="1" s="1"/>
  <c r="D205" i="1"/>
  <c r="B205" i="1"/>
  <c r="C205" i="1" s="1"/>
  <c r="D204" i="1"/>
  <c r="B204" i="1"/>
  <c r="C204" i="1" s="1"/>
  <c r="D203" i="1"/>
  <c r="B203" i="1"/>
  <c r="C203" i="1" s="1"/>
  <c r="D202" i="1"/>
  <c r="B202" i="1"/>
  <c r="C202" i="1" s="1"/>
  <c r="D201" i="1"/>
  <c r="B201" i="1"/>
  <c r="C201" i="1" s="1"/>
  <c r="D200" i="1"/>
  <c r="B200" i="1"/>
  <c r="C200" i="1" s="1"/>
  <c r="D199" i="1"/>
  <c r="B199" i="1"/>
  <c r="C199" i="1" s="1"/>
  <c r="D198" i="1"/>
  <c r="B198" i="1"/>
  <c r="C198" i="1" s="1"/>
  <c r="D197" i="1"/>
  <c r="B197" i="1"/>
  <c r="C197" i="1" s="1"/>
  <c r="D196" i="1"/>
  <c r="B196" i="1"/>
  <c r="C196" i="1" s="1"/>
  <c r="D195" i="1"/>
  <c r="B195" i="1"/>
  <c r="C195" i="1" s="1"/>
  <c r="D194" i="1"/>
  <c r="B194" i="1"/>
  <c r="C194" i="1" s="1"/>
  <c r="D193" i="1"/>
  <c r="B193" i="1"/>
  <c r="C193" i="1" s="1"/>
  <c r="D192" i="1"/>
  <c r="B192" i="1"/>
  <c r="C192" i="1" s="1"/>
  <c r="D191" i="1"/>
  <c r="B191" i="1"/>
  <c r="C191" i="1" s="1"/>
  <c r="D190" i="1"/>
  <c r="B190" i="1"/>
  <c r="C190" i="1" s="1"/>
  <c r="D189" i="1"/>
  <c r="B189" i="1"/>
  <c r="C189" i="1" s="1"/>
  <c r="D188" i="1"/>
  <c r="B188" i="1"/>
  <c r="C188" i="1" s="1"/>
  <c r="D187" i="1"/>
  <c r="B187" i="1"/>
  <c r="C187" i="1" s="1"/>
  <c r="D186" i="1"/>
  <c r="B186" i="1"/>
  <c r="C186" i="1" s="1"/>
  <c r="D185" i="1"/>
  <c r="B185" i="1"/>
  <c r="C185" i="1" s="1"/>
  <c r="D184" i="1"/>
  <c r="B184" i="1"/>
  <c r="C184" i="1" s="1"/>
  <c r="D183" i="1"/>
  <c r="B183" i="1"/>
  <c r="C183" i="1" s="1"/>
  <c r="D182" i="1"/>
  <c r="B182" i="1"/>
  <c r="C182" i="1" s="1"/>
  <c r="D181" i="1"/>
  <c r="B181" i="1"/>
  <c r="C181" i="1" s="1"/>
  <c r="D180" i="1"/>
  <c r="B180" i="1"/>
  <c r="C180" i="1" s="1"/>
  <c r="D179" i="1"/>
  <c r="B179" i="1"/>
  <c r="C179" i="1" s="1"/>
  <c r="D178" i="1"/>
  <c r="B178" i="1"/>
  <c r="C178" i="1" s="1"/>
  <c r="D177" i="1"/>
  <c r="B177" i="1"/>
  <c r="C177" i="1" s="1"/>
  <c r="D176" i="1"/>
  <c r="B176" i="1"/>
  <c r="C176" i="1" s="1"/>
  <c r="D175" i="1"/>
  <c r="B175" i="1"/>
  <c r="C175" i="1" s="1"/>
  <c r="D174" i="1"/>
  <c r="B174" i="1"/>
  <c r="C174" i="1" s="1"/>
  <c r="D173" i="1"/>
  <c r="B173" i="1"/>
  <c r="C173" i="1" s="1"/>
  <c r="D172" i="1"/>
  <c r="B172" i="1"/>
  <c r="C172" i="1" s="1"/>
  <c r="D171" i="1"/>
  <c r="B171" i="1"/>
  <c r="C171" i="1" s="1"/>
  <c r="D170" i="1"/>
  <c r="B170" i="1"/>
  <c r="C170" i="1" s="1"/>
  <c r="D169" i="1"/>
  <c r="B169" i="1"/>
  <c r="C169" i="1" s="1"/>
  <c r="D168" i="1"/>
  <c r="B168" i="1"/>
  <c r="C168" i="1" s="1"/>
  <c r="D167" i="1"/>
  <c r="B167" i="1"/>
  <c r="C167" i="1" s="1"/>
  <c r="D166" i="1"/>
  <c r="B166" i="1"/>
  <c r="C166" i="1" s="1"/>
  <c r="D165" i="1"/>
  <c r="B165" i="1"/>
  <c r="C165" i="1" s="1"/>
  <c r="D164" i="1"/>
  <c r="B164" i="1"/>
  <c r="C164" i="1" s="1"/>
  <c r="D163" i="1"/>
  <c r="B163" i="1"/>
  <c r="C163" i="1" s="1"/>
  <c r="D162" i="1"/>
  <c r="B162" i="1"/>
  <c r="C162" i="1" s="1"/>
  <c r="D161" i="1"/>
  <c r="B161" i="1"/>
  <c r="C161" i="1" s="1"/>
  <c r="D160" i="1"/>
  <c r="B160" i="1"/>
  <c r="C160" i="1" s="1"/>
  <c r="D159" i="1"/>
  <c r="B159" i="1"/>
  <c r="C159" i="1" s="1"/>
  <c r="D158" i="1"/>
  <c r="B158" i="1"/>
  <c r="C158" i="1" s="1"/>
  <c r="D157" i="1"/>
  <c r="B157" i="1"/>
  <c r="C157" i="1" s="1"/>
  <c r="D156" i="1"/>
  <c r="B156" i="1"/>
  <c r="C156" i="1" s="1"/>
  <c r="D155" i="1"/>
  <c r="B155" i="1"/>
  <c r="C155" i="1" s="1"/>
  <c r="D154" i="1"/>
  <c r="B154" i="1"/>
  <c r="C154" i="1" s="1"/>
  <c r="D153" i="1"/>
  <c r="B153" i="1"/>
  <c r="C153" i="1" s="1"/>
  <c r="D152" i="1"/>
  <c r="B152" i="1"/>
  <c r="C152" i="1" s="1"/>
  <c r="D151" i="1"/>
  <c r="B151" i="1"/>
  <c r="C151" i="1" s="1"/>
  <c r="D150" i="1"/>
  <c r="B150" i="1"/>
  <c r="C150" i="1" s="1"/>
  <c r="D149" i="1"/>
  <c r="B149" i="1"/>
  <c r="C149" i="1" s="1"/>
  <c r="D148" i="1"/>
  <c r="B148" i="1"/>
  <c r="C148" i="1" s="1"/>
  <c r="D147" i="1"/>
  <c r="B147" i="1"/>
  <c r="C147" i="1" s="1"/>
  <c r="D146" i="1"/>
  <c r="B146" i="1"/>
  <c r="C146" i="1" s="1"/>
  <c r="D145" i="1"/>
  <c r="B145" i="1"/>
  <c r="C145" i="1" s="1"/>
  <c r="D144" i="1"/>
  <c r="B144" i="1"/>
  <c r="C144" i="1" s="1"/>
  <c r="D143" i="1"/>
  <c r="B143" i="1"/>
  <c r="C143" i="1" s="1"/>
  <c r="D142" i="1"/>
  <c r="B142" i="1"/>
  <c r="C142" i="1" s="1"/>
  <c r="D141" i="1"/>
  <c r="B141" i="1"/>
  <c r="C141" i="1" s="1"/>
  <c r="D140" i="1"/>
  <c r="B140" i="1"/>
  <c r="C140" i="1" s="1"/>
  <c r="D139" i="1"/>
  <c r="B139" i="1"/>
  <c r="C139" i="1" s="1"/>
  <c r="D138" i="1"/>
  <c r="B138" i="1"/>
  <c r="C138" i="1" s="1"/>
  <c r="D137" i="1"/>
  <c r="B137" i="1"/>
  <c r="C137" i="1" s="1"/>
  <c r="D136" i="1"/>
  <c r="B136" i="1"/>
  <c r="C136" i="1" s="1"/>
  <c r="D135" i="1"/>
  <c r="B135" i="1"/>
  <c r="C135" i="1" s="1"/>
  <c r="D134" i="1"/>
  <c r="B134" i="1"/>
  <c r="C134" i="1" s="1"/>
  <c r="D133" i="1"/>
  <c r="B133" i="1"/>
  <c r="C133" i="1" s="1"/>
  <c r="D132" i="1"/>
  <c r="B132" i="1"/>
  <c r="C132" i="1" s="1"/>
  <c r="D131" i="1"/>
  <c r="B131" i="1"/>
  <c r="C131" i="1" s="1"/>
  <c r="D130" i="1"/>
  <c r="B130" i="1"/>
  <c r="C130" i="1" s="1"/>
  <c r="D129" i="1"/>
  <c r="B129" i="1"/>
  <c r="C129" i="1" s="1"/>
  <c r="D128" i="1"/>
  <c r="B128" i="1"/>
  <c r="C128" i="1" s="1"/>
  <c r="D127" i="1"/>
  <c r="B127" i="1"/>
  <c r="C127" i="1" s="1"/>
  <c r="D126" i="1"/>
  <c r="B126" i="1"/>
  <c r="C126" i="1" s="1"/>
  <c r="D125" i="1"/>
  <c r="B125" i="1"/>
  <c r="C125" i="1" s="1"/>
  <c r="D124" i="1"/>
  <c r="B124" i="1"/>
  <c r="C124" i="1" s="1"/>
  <c r="D123" i="1"/>
  <c r="B123" i="1"/>
  <c r="C123" i="1" s="1"/>
  <c r="D122" i="1"/>
  <c r="B122" i="1"/>
  <c r="C122" i="1" s="1"/>
  <c r="D121" i="1"/>
  <c r="B121" i="1"/>
  <c r="C121" i="1" s="1"/>
  <c r="D120" i="1"/>
  <c r="B120" i="1"/>
  <c r="C120" i="1" s="1"/>
  <c r="D119" i="1"/>
  <c r="B119" i="1"/>
  <c r="C119" i="1" s="1"/>
  <c r="D118" i="1"/>
  <c r="B118" i="1"/>
  <c r="C118" i="1" s="1"/>
  <c r="D117" i="1"/>
  <c r="B117" i="1"/>
  <c r="C117" i="1" s="1"/>
  <c r="D116" i="1"/>
  <c r="B116" i="1"/>
  <c r="C116" i="1" s="1"/>
  <c r="D115" i="1"/>
  <c r="B115" i="1"/>
  <c r="C115" i="1" s="1"/>
  <c r="D114" i="1"/>
  <c r="B114" i="1"/>
  <c r="C114" i="1" s="1"/>
  <c r="D113" i="1"/>
  <c r="B113" i="1"/>
  <c r="C113" i="1" s="1"/>
  <c r="D112" i="1"/>
  <c r="B112" i="1"/>
  <c r="C112" i="1" s="1"/>
  <c r="D111" i="1"/>
  <c r="B111" i="1"/>
  <c r="C111" i="1" s="1"/>
  <c r="D110" i="1"/>
  <c r="B110" i="1"/>
  <c r="C110" i="1" s="1"/>
  <c r="D109" i="1"/>
  <c r="B109" i="1"/>
  <c r="C109" i="1" s="1"/>
  <c r="D108" i="1"/>
  <c r="B108" i="1"/>
  <c r="C108" i="1" s="1"/>
  <c r="D107" i="1"/>
  <c r="B107" i="1"/>
  <c r="C107" i="1" s="1"/>
  <c r="D106" i="1"/>
  <c r="B106" i="1"/>
  <c r="C106" i="1" s="1"/>
  <c r="D105" i="1"/>
  <c r="B105" i="1"/>
  <c r="C105" i="1" s="1"/>
  <c r="D104" i="1"/>
  <c r="B104" i="1"/>
  <c r="C104" i="1" s="1"/>
  <c r="D103" i="1"/>
  <c r="B103" i="1"/>
  <c r="C103" i="1" s="1"/>
  <c r="D102" i="1"/>
  <c r="B102" i="1"/>
  <c r="C102" i="1" s="1"/>
  <c r="D101" i="1"/>
  <c r="B101" i="1"/>
  <c r="C101" i="1" s="1"/>
  <c r="D100" i="1"/>
  <c r="B100" i="1"/>
  <c r="C100" i="1" s="1"/>
  <c r="D99" i="1"/>
  <c r="B99" i="1"/>
  <c r="C99" i="1" s="1"/>
  <c r="D98" i="1"/>
  <c r="B98" i="1"/>
  <c r="C98" i="1" s="1"/>
  <c r="D97" i="1"/>
  <c r="B97" i="1"/>
  <c r="C97" i="1" s="1"/>
  <c r="D96" i="1"/>
  <c r="B96" i="1"/>
  <c r="C96" i="1" s="1"/>
  <c r="D95" i="1"/>
  <c r="B95" i="1"/>
  <c r="C95" i="1" s="1"/>
  <c r="D94" i="1"/>
  <c r="B94" i="1"/>
  <c r="C94" i="1" s="1"/>
  <c r="D93" i="1"/>
  <c r="B93" i="1"/>
  <c r="C93" i="1" s="1"/>
  <c r="D92" i="1"/>
  <c r="B92" i="1"/>
  <c r="C92" i="1" s="1"/>
  <c r="D91" i="1"/>
  <c r="B91" i="1"/>
  <c r="C91" i="1" s="1"/>
  <c r="D90" i="1"/>
  <c r="B90" i="1"/>
  <c r="C90" i="1" s="1"/>
  <c r="D89" i="1"/>
  <c r="B89" i="1"/>
  <c r="C89" i="1" s="1"/>
  <c r="D88" i="1"/>
  <c r="B88" i="1"/>
  <c r="C88" i="1" s="1"/>
  <c r="D87" i="1"/>
  <c r="B87" i="1"/>
  <c r="C87" i="1" s="1"/>
  <c r="D86" i="1"/>
  <c r="B86" i="1"/>
  <c r="C86" i="1" s="1"/>
  <c r="D85" i="1"/>
  <c r="B85" i="1"/>
  <c r="C85" i="1" s="1"/>
  <c r="D84" i="1"/>
  <c r="B84" i="1"/>
  <c r="C84" i="1" s="1"/>
  <c r="D83" i="1"/>
  <c r="B83" i="1"/>
  <c r="C83" i="1" s="1"/>
  <c r="D82" i="1"/>
  <c r="B82" i="1"/>
  <c r="C82" i="1" s="1"/>
  <c r="D81" i="1"/>
  <c r="B81" i="1"/>
  <c r="C81" i="1" s="1"/>
  <c r="D80" i="1"/>
  <c r="B80" i="1"/>
  <c r="C80" i="1" s="1"/>
  <c r="D79" i="1"/>
  <c r="B79" i="1"/>
  <c r="C79" i="1" s="1"/>
  <c r="D78" i="1"/>
  <c r="B78" i="1"/>
  <c r="C78" i="1" s="1"/>
  <c r="D77" i="1"/>
  <c r="B77" i="1"/>
  <c r="C77" i="1" s="1"/>
  <c r="D76" i="1"/>
  <c r="B76" i="1"/>
  <c r="C76" i="1" s="1"/>
  <c r="D75" i="1"/>
  <c r="B75" i="1"/>
  <c r="C75" i="1" s="1"/>
  <c r="D74" i="1"/>
  <c r="B74" i="1"/>
  <c r="C74" i="1" s="1"/>
  <c r="D73" i="1"/>
  <c r="B73" i="1"/>
  <c r="C73" i="1" s="1"/>
  <c r="D72" i="1"/>
  <c r="B72" i="1"/>
  <c r="C72" i="1" s="1"/>
  <c r="D71" i="1"/>
  <c r="B71" i="1"/>
  <c r="C71" i="1" s="1"/>
  <c r="D70" i="1"/>
  <c r="B70" i="1"/>
  <c r="C70" i="1" s="1"/>
  <c r="D69" i="1"/>
  <c r="B69" i="1"/>
  <c r="C69" i="1" s="1"/>
  <c r="D68" i="1"/>
  <c r="B68" i="1"/>
  <c r="C68" i="1" s="1"/>
  <c r="D67" i="1"/>
  <c r="B67" i="1"/>
  <c r="C67" i="1" s="1"/>
  <c r="D66" i="1"/>
  <c r="B66" i="1"/>
  <c r="C66" i="1" s="1"/>
  <c r="D65" i="1"/>
  <c r="B65" i="1"/>
  <c r="C65" i="1" s="1"/>
  <c r="D64" i="1"/>
  <c r="B64" i="1"/>
  <c r="C64" i="1" s="1"/>
  <c r="D63" i="1"/>
  <c r="B63" i="1"/>
  <c r="C63" i="1" s="1"/>
  <c r="D62" i="1"/>
  <c r="B62" i="1"/>
  <c r="C62" i="1" s="1"/>
  <c r="D61" i="1"/>
  <c r="B61" i="1"/>
  <c r="C61" i="1" s="1"/>
  <c r="D60" i="1"/>
  <c r="B60" i="1"/>
  <c r="C60" i="1" s="1"/>
  <c r="D59" i="1"/>
  <c r="B59" i="1"/>
  <c r="C59" i="1" s="1"/>
  <c r="D58" i="1"/>
  <c r="B58" i="1"/>
  <c r="C58" i="1" s="1"/>
  <c r="D57" i="1"/>
  <c r="B57" i="1"/>
  <c r="C57" i="1" s="1"/>
  <c r="D56" i="1"/>
  <c r="B56" i="1"/>
  <c r="C56" i="1" s="1"/>
  <c r="D55" i="1"/>
  <c r="B55" i="1"/>
  <c r="C55" i="1" s="1"/>
  <c r="D54" i="1"/>
  <c r="B54" i="1"/>
  <c r="C54" i="1" s="1"/>
  <c r="D53" i="1"/>
  <c r="B53" i="1"/>
  <c r="C53" i="1" s="1"/>
  <c r="D52" i="1"/>
  <c r="B52" i="1"/>
  <c r="C52" i="1" s="1"/>
  <c r="D51" i="1"/>
  <c r="B51" i="1"/>
  <c r="C51" i="1" s="1"/>
  <c r="D50" i="1"/>
  <c r="B50" i="1"/>
  <c r="C50" i="1" s="1"/>
  <c r="D49" i="1"/>
  <c r="B49" i="1"/>
  <c r="C49" i="1" s="1"/>
  <c r="D48" i="1"/>
  <c r="B48" i="1"/>
  <c r="C48" i="1" s="1"/>
  <c r="D47" i="1"/>
  <c r="B47" i="1"/>
  <c r="C47" i="1" s="1"/>
  <c r="D46" i="1"/>
  <c r="B46" i="1"/>
  <c r="C46" i="1" s="1"/>
  <c r="D45" i="1"/>
  <c r="B45" i="1"/>
  <c r="C45" i="1" s="1"/>
  <c r="D44" i="1"/>
  <c r="B44" i="1"/>
  <c r="C44" i="1" s="1"/>
  <c r="D43" i="1"/>
  <c r="B43" i="1"/>
  <c r="C43" i="1" s="1"/>
  <c r="D42" i="1"/>
  <c r="B42" i="1"/>
  <c r="C42" i="1" s="1"/>
  <c r="D41" i="1"/>
  <c r="B41" i="1"/>
  <c r="C41" i="1" s="1"/>
  <c r="D40" i="1"/>
  <c r="B40" i="1"/>
  <c r="C40" i="1" s="1"/>
  <c r="D39" i="1"/>
  <c r="B39" i="1"/>
  <c r="C39" i="1" s="1"/>
  <c r="D38" i="1"/>
  <c r="B38" i="1"/>
  <c r="C38" i="1" s="1"/>
  <c r="D37" i="1"/>
  <c r="B37" i="1"/>
  <c r="C37" i="1" s="1"/>
  <c r="D36" i="1"/>
  <c r="B36" i="1"/>
  <c r="C36" i="1" s="1"/>
  <c r="D35" i="1"/>
  <c r="B35" i="1"/>
  <c r="C35" i="1" s="1"/>
  <c r="D34" i="1"/>
  <c r="B34" i="1"/>
  <c r="C34" i="1" s="1"/>
  <c r="D33" i="1"/>
  <c r="B33" i="1"/>
  <c r="C33" i="1" s="1"/>
  <c r="D32" i="1"/>
  <c r="B32" i="1"/>
  <c r="C32" i="1" s="1"/>
  <c r="D31" i="1"/>
  <c r="B31" i="1"/>
  <c r="C31" i="1" s="1"/>
  <c r="D30" i="1"/>
  <c r="B30" i="1"/>
  <c r="C30" i="1" s="1"/>
  <c r="D29" i="1"/>
  <c r="B29" i="1"/>
  <c r="C29" i="1" s="1"/>
  <c r="D28" i="1"/>
  <c r="B28" i="1"/>
  <c r="C28" i="1" s="1"/>
  <c r="D27" i="1"/>
  <c r="B27" i="1"/>
  <c r="C27" i="1" s="1"/>
  <c r="D26" i="1"/>
  <c r="B26" i="1"/>
  <c r="C26" i="1" s="1"/>
  <c r="D25" i="1"/>
  <c r="B25" i="1"/>
  <c r="C25" i="1" s="1"/>
  <c r="D24" i="1"/>
  <c r="B24" i="1"/>
  <c r="C24" i="1" s="1"/>
  <c r="D23" i="1"/>
  <c r="B23" i="1"/>
  <c r="C23" i="1" s="1"/>
  <c r="D22" i="1"/>
  <c r="B22" i="1"/>
  <c r="C22" i="1" s="1"/>
  <c r="D21" i="1"/>
  <c r="B21" i="1"/>
  <c r="C21" i="1" s="1"/>
  <c r="D20" i="1"/>
  <c r="B20" i="1"/>
  <c r="C20" i="1" s="1"/>
  <c r="D19" i="1"/>
  <c r="B19" i="1"/>
  <c r="C19" i="1" s="1"/>
  <c r="D18" i="1"/>
  <c r="B18" i="1"/>
  <c r="C18" i="1" s="1"/>
  <c r="D17" i="1"/>
  <c r="B17" i="1"/>
  <c r="C17" i="1" s="1"/>
  <c r="D16" i="1"/>
  <c r="B16" i="1"/>
  <c r="C16" i="1" s="1"/>
  <c r="D15" i="1"/>
  <c r="B15" i="1"/>
  <c r="C15" i="1" s="1"/>
  <c r="D14" i="1"/>
  <c r="B14" i="1"/>
  <c r="C14" i="1" s="1"/>
  <c r="D13" i="1"/>
  <c r="B13" i="1"/>
  <c r="C13" i="1" s="1"/>
  <c r="D12" i="1"/>
  <c r="B12" i="1"/>
  <c r="C12" i="1" s="1"/>
  <c r="D11" i="1"/>
  <c r="B11" i="1"/>
  <c r="C11" i="1" s="1"/>
  <c r="D10" i="1"/>
  <c r="B10" i="1"/>
  <c r="C10" i="1" s="1"/>
  <c r="D9" i="1"/>
  <c r="B9" i="1"/>
  <c r="C9" i="1" s="1"/>
  <c r="D8" i="1"/>
  <c r="B8" i="1"/>
  <c r="C8" i="1" s="1"/>
  <c r="D7" i="1"/>
  <c r="B7" i="1"/>
  <c r="C7" i="1" s="1"/>
  <c r="D6" i="1"/>
  <c r="B6" i="1"/>
  <c r="C6" i="1" s="1"/>
  <c r="D5" i="1"/>
  <c r="B5" i="1"/>
  <c r="C5" i="1" s="1"/>
  <c r="E358" i="1"/>
  <c r="E359" i="1"/>
  <c r="E360" i="1"/>
  <c r="E356" i="1"/>
  <c r="E357" i="1"/>
  <c r="F125" i="4" l="1"/>
  <c r="F53" i="4"/>
  <c r="F61" i="4"/>
  <c r="F103" i="4"/>
  <c r="F55" i="4"/>
  <c r="F47" i="4"/>
  <c r="F39" i="4"/>
  <c r="F31" i="4"/>
  <c r="F23" i="4"/>
  <c r="F15" i="4"/>
  <c r="F7" i="4"/>
  <c r="F69" i="4"/>
  <c r="F118" i="4"/>
  <c r="F110" i="4"/>
  <c r="F102" i="4"/>
  <c r="F94" i="4"/>
  <c r="F86" i="4"/>
  <c r="F78" i="4"/>
  <c r="F70" i="4"/>
  <c r="F62" i="4"/>
  <c r="F54" i="4"/>
  <c r="F46" i="4"/>
  <c r="F38" i="4"/>
  <c r="F30" i="4"/>
  <c r="F22" i="4"/>
  <c r="F14" i="4"/>
  <c r="F6" i="4"/>
  <c r="F79" i="4"/>
  <c r="F5" i="4"/>
  <c r="F117" i="4"/>
  <c r="F124" i="4"/>
  <c r="F116" i="4"/>
  <c r="F108" i="4"/>
  <c r="F100" i="4"/>
  <c r="F92" i="4"/>
  <c r="F84" i="4"/>
  <c r="F76" i="4"/>
  <c r="F68" i="4"/>
  <c r="F60" i="4"/>
  <c r="F52" i="4"/>
  <c r="F44" i="4"/>
  <c r="F36" i="4"/>
  <c r="F28" i="4"/>
  <c r="F20" i="4"/>
  <c r="F12" i="4"/>
  <c r="F109" i="4"/>
  <c r="F45" i="4"/>
  <c r="F111" i="4"/>
  <c r="F63" i="4"/>
  <c r="F123" i="4"/>
  <c r="F115" i="4"/>
  <c r="F107" i="4"/>
  <c r="F99" i="4"/>
  <c r="F91" i="4"/>
  <c r="F83" i="4"/>
  <c r="F75" i="4"/>
  <c r="F67" i="4"/>
  <c r="F59" i="4"/>
  <c r="F51" i="4"/>
  <c r="F43" i="4"/>
  <c r="F35" i="4"/>
  <c r="F27" i="4"/>
  <c r="F19" i="4"/>
  <c r="F11" i="4"/>
  <c r="F101" i="4"/>
  <c r="F37" i="4"/>
  <c r="F119" i="4"/>
  <c r="F71" i="4"/>
  <c r="F114" i="4"/>
  <c r="F106" i="4"/>
  <c r="F98" i="4"/>
  <c r="F90" i="4"/>
  <c r="F82" i="4"/>
  <c r="F74" i="4"/>
  <c r="F66" i="4"/>
  <c r="F58" i="4"/>
  <c r="F50" i="4"/>
  <c r="F42" i="4"/>
  <c r="F34" i="4"/>
  <c r="F26" i="4"/>
  <c r="F18" i="4"/>
  <c r="F10" i="4"/>
  <c r="F93" i="4"/>
  <c r="F29" i="4"/>
  <c r="F87" i="4"/>
  <c r="F113" i="4"/>
  <c r="F105" i="4"/>
  <c r="F97" i="4"/>
  <c r="F89" i="4"/>
  <c r="F81" i="4"/>
  <c r="F73" i="4"/>
  <c r="F65" i="4"/>
  <c r="F57" i="4"/>
  <c r="F49" i="4"/>
  <c r="F41" i="4"/>
  <c r="F33" i="4"/>
  <c r="F25" i="4"/>
  <c r="F17" i="4"/>
  <c r="F9" i="4"/>
  <c r="F85" i="4"/>
  <c r="F21" i="4"/>
  <c r="F95" i="4"/>
  <c r="F120" i="4"/>
  <c r="F112" i="4"/>
  <c r="F104" i="4"/>
  <c r="F96" i="4"/>
  <c r="F88" i="4"/>
  <c r="F80" i="4"/>
  <c r="F72" i="4"/>
  <c r="F64" i="4"/>
  <c r="F56" i="4"/>
  <c r="F48" i="4"/>
  <c r="F40" i="4"/>
  <c r="F32" i="4"/>
  <c r="F24" i="4"/>
  <c r="F16" i="4"/>
  <c r="F8" i="4"/>
  <c r="F77" i="4"/>
  <c r="F13" i="4"/>
  <c r="F122" i="4"/>
  <c r="E355" i="1"/>
  <c r="E354" i="1"/>
  <c r="F1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אמיר דולב</author>
    <author>maor</author>
    <author>מריה פלדמן</author>
    <author>מקסים בוצ'רנקו</author>
    <author>Maor</author>
    <author>amir</author>
    <author>בן צרפתי</author>
  </authors>
  <commentList>
    <comment ref="AC4" authorId="0" shapeId="0" xr:uid="{2C5719CC-52FD-4556-ADFE-80859C39698A}">
      <text>
        <r>
          <rPr>
            <sz val="11"/>
            <color theme="1"/>
            <rFont val="Arial"/>
            <family val="2"/>
            <charset val="177"/>
            <scheme val="minor"/>
          </rPr>
          <t>אמיר דולב:
מחושב</t>
        </r>
      </text>
    </comment>
    <comment ref="AD4" authorId="0" shapeId="0" xr:uid="{52BF8975-7E77-4AF7-82C3-480CBFF81CD2}">
      <text>
        <r>
          <rPr>
            <sz val="11"/>
            <color theme="1"/>
            <rFont val="Arial"/>
            <family val="2"/>
            <charset val="177"/>
            <scheme val="minor"/>
          </rPr>
          <t>אמיר דולב:
מחושב.. לגרור נוסחא</t>
        </r>
      </text>
    </comment>
    <comment ref="AE4" authorId="0" shapeId="0" xr:uid="{85C17D06-B854-4F65-A2F3-01E143605BBF}">
      <text>
        <r>
          <rPr>
            <sz val="11"/>
            <color theme="1"/>
            <rFont val="Arial"/>
            <family val="2"/>
            <charset val="177"/>
            <scheme val="minor"/>
          </rPr>
          <t>אמיר דולב:
מחושב.. לגרור נוסחא</t>
        </r>
      </text>
    </comment>
    <comment ref="AF4" authorId="0" shapeId="0" xr:uid="{70578B96-CB2F-4850-9077-E23DFB429AB9}">
      <text>
        <r>
          <rPr>
            <sz val="11"/>
            <color theme="1"/>
            <rFont val="Arial"/>
            <family val="2"/>
            <charset val="177"/>
            <scheme val="minor"/>
          </rPr>
          <t>אמיר דולב:
לוח 3</t>
        </r>
      </text>
    </comment>
    <comment ref="AG4" authorId="0" shapeId="0" xr:uid="{799A3947-B5FD-4DCF-AEED-13C0D827E259}">
      <text>
        <r>
          <rPr>
            <sz val="11"/>
            <color theme="1"/>
            <rFont val="Arial"/>
            <family val="2"/>
            <charset val="177"/>
            <scheme val="minor"/>
          </rPr>
          <t>אמיר דולב:
לוח 1</t>
        </r>
      </text>
    </comment>
    <comment ref="AH4" authorId="1" shapeId="0" xr:uid="{0313C4EF-D5B1-4D18-A5E9-F437EF34A835}">
      <text>
        <r>
          <rPr>
            <b/>
            <sz val="8"/>
            <color indexed="81"/>
            <rFont val="Tahoma"/>
            <family val="2"/>
          </rPr>
          <t>maor:</t>
        </r>
        <r>
          <rPr>
            <sz val="8"/>
            <color indexed="81"/>
            <rFont val="Tahoma"/>
            <family val="2"/>
          </rPr>
          <t xml:space="preserve">
מבנק ישראל. בגיליון הרבעוני הסדרה לקוחה מהלמ"ס</t>
        </r>
      </text>
    </comment>
    <comment ref="AI4" authorId="2" shapeId="0" xr:uid="{771746AF-53F1-461A-8D3A-D48D36B06CF6}">
      <text>
        <r>
          <rPr>
            <b/>
            <sz val="9"/>
            <color indexed="81"/>
            <rFont val="Tahoma"/>
            <family val="2"/>
          </rPr>
          <t xml:space="preserve">מריה פלדמן: באתר הלמס ללכת לכלים ומאגרי נתונים, מאגר מחירים ומדדי מחירים, סוג נתונים-מדדי מחירים, נושא-מדד ומחירים ממוצעים משוק הדירות, תת נושא-מדד מחירי דירות, לסמן את הסדרה, המשך לטבלת נתונים, לבחור את השנה האחרונה, סוג מדד- מדדי מחירים, סוג בסיס -מדדי מחירים לפי תקופת בסיס נבחרת, תקופת בסיס- ממוצע 1993=100.0, המשך לטבלת נתונים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4" authorId="0" shapeId="0" xr:uid="{9D1B05C7-09BF-40B0-B067-17DACAECDBA2}">
      <text>
        <r>
          <rPr>
            <b/>
            <sz val="9"/>
            <color indexed="81"/>
            <rFont val="Tahoma"/>
            <family val="2"/>
          </rPr>
          <t>אמיר דולב:</t>
        </r>
        <r>
          <rPr>
            <sz val="9"/>
            <color indexed="81"/>
            <rFont val="Tahoma"/>
            <family val="2"/>
          </rPr>
          <t xml:space="preserve">
מקור – למ"ס, הודעות לעיתונות: "רכישות בכרטיסי אשראי על ידי צרכנים פרטיים בחודשים...", לוחות 1-5.</t>
        </r>
      </text>
    </comment>
    <comment ref="AK4" authorId="3" shapeId="0" xr:uid="{E10E6D42-C3C9-4B7A-9531-AC0C71D3D085}">
      <text>
        <r>
          <rPr>
            <b/>
            <sz val="9"/>
            <color indexed="81"/>
            <rFont val="Tahoma"/>
            <family val="2"/>
          </rPr>
          <t>מקסים בוצ'רנקו:</t>
        </r>
        <r>
          <rPr>
            <sz val="9"/>
            <color indexed="81"/>
            <rFont val="Tahoma"/>
            <family val="2"/>
          </rPr>
          <t xml:space="preserve">
למ"ס, הודעות לעיתונות, הייצור התעשייתי</t>
        </r>
      </text>
    </comment>
    <comment ref="AL4" authorId="3" shapeId="0" xr:uid="{60473174-1B88-47BA-B4C0-13C16004F0B0}">
      <text>
        <r>
          <rPr>
            <b/>
            <sz val="9"/>
            <color indexed="81"/>
            <rFont val="Tahoma"/>
            <family val="2"/>
          </rPr>
          <t>לנה שוברט: 
נתונים ארוכי טווח של המדד המשולב המדד המשולב- רמה</t>
        </r>
      </text>
    </comment>
    <comment ref="AM4" authorId="4" shapeId="0" xr:uid="{DF81C8F4-E632-469A-9A97-954D53538006}">
      <text>
        <r>
          <rPr>
            <b/>
            <sz val="8"/>
            <color indexed="81"/>
            <rFont val="Tahoma"/>
            <family val="2"/>
          </rPr>
          <t>Maor:</t>
        </r>
        <r>
          <rPr>
            <sz val="8"/>
            <color indexed="81"/>
            <rFont val="Tahoma"/>
            <family val="2"/>
          </rPr>
          <t xml:space="preserve">
לוח 1 , דירות חדשות שנמכרו- מנוכה עונתיות  מוכפל ב-12
 </t>
        </r>
      </text>
    </comment>
    <comment ref="T169" authorId="5" shapeId="0" xr:uid="{8C058AC1-CF24-4DCC-9EA0-ECA5B411D51E}">
      <text>
        <r>
          <rPr>
            <b/>
            <sz val="8"/>
            <color indexed="81"/>
            <rFont val="Tahoma"/>
            <family val="2"/>
          </rPr>
          <t>amir:</t>
        </r>
        <r>
          <rPr>
            <sz val="8"/>
            <color indexed="81"/>
            <rFont val="Tahoma"/>
            <family val="2"/>
          </rPr>
          <t xml:space="preserve">
יש לעדכן את שקף 19 
להעביר לתא הבא לאחר העדכון</t>
        </r>
      </text>
    </comment>
    <comment ref="AF307" authorId="6" shapeId="0" xr:uid="{2A4F2506-9449-4279-9546-0E9DD2F74087}">
      <text>
        <r>
          <rPr>
            <b/>
            <sz val="9"/>
            <color indexed="81"/>
            <rFont val="Tahoma"/>
            <family val="2"/>
          </rPr>
          <t>בן צרפתי:</t>
        </r>
        <r>
          <rPr>
            <sz val="9"/>
            <color indexed="81"/>
            <rFont val="Tahoma"/>
            <family val="2"/>
          </rPr>
          <t xml:space="preserve">
נתון זה לא פורסם החל מפרסום מרץ 2020.
נתון זה שב להתפרסם החל מפרסום ספטמבר 2020.</t>
        </r>
      </text>
    </comment>
    <comment ref="AG308" authorId="6" shapeId="0" xr:uid="{0ABFFB63-C12B-4435-867A-BBEC894B27EC}">
      <text>
        <r>
          <rPr>
            <b/>
            <sz val="9"/>
            <color indexed="81"/>
            <rFont val="Tahoma"/>
            <family val="2"/>
          </rPr>
          <t>בן צרפתי:</t>
        </r>
        <r>
          <rPr>
            <sz val="9"/>
            <color indexed="81"/>
            <rFont val="Tahoma"/>
            <family val="2"/>
          </rPr>
          <t xml:space="preserve">
נתון זה לא פורסם החל מפרסום חודש אפריל 2020.
הנתון שב להתפרסם החל מפרסום ספטמבר 2020.</t>
        </r>
      </text>
    </comment>
    <comment ref="AI431" authorId="6" shapeId="0" xr:uid="{92397BF9-D507-4535-AA30-C2F14C572415}">
      <text>
        <r>
          <rPr>
            <b/>
            <sz val="9"/>
            <color indexed="81"/>
            <rFont val="Tahoma"/>
            <family val="2"/>
          </rPr>
          <t>בן צרפתי:</t>
        </r>
        <r>
          <rPr>
            <sz val="9"/>
            <color indexed="81"/>
            <rFont val="Tahoma"/>
            <family val="2"/>
          </rPr>
          <t xml:space="preserve">
נתון זה לא פורסם החל מפרסום חודש אפריל 2020.
הנתון שב להתפרסם החל מפרסום ספטמבר 2020.</t>
        </r>
      </text>
    </comment>
  </commentList>
</comments>
</file>

<file path=xl/sharedStrings.xml><?xml version="1.0" encoding="utf-8"?>
<sst xmlns="http://schemas.openxmlformats.org/spreadsheetml/2006/main" count="323" uniqueCount="221">
  <si>
    <t>Date</t>
  </si>
  <si>
    <t>רכישות בכרטיסי אשראי</t>
  </si>
  <si>
    <t>ממוצע 7 ימים, מנוכה עונתיות</t>
  </si>
  <si>
    <t>תדירות/גיליון</t>
  </si>
  <si>
    <t>אינדיקטור</t>
  </si>
  <si>
    <t>Private_consumption</t>
  </si>
  <si>
    <t>יחידות</t>
  </si>
  <si>
    <t>מקור</t>
  </si>
  <si>
    <t>בנק ישראל</t>
  </si>
  <si>
    <t>קישור</t>
  </si>
  <si>
    <t>הערות</t>
  </si>
  <si>
    <t>באתר קיים רק מ-2016, צריך לבקש מהם את הסדרות, איש קשר - שי צור</t>
  </si>
  <si>
    <t>Daily</t>
  </si>
  <si>
    <t>גוגל טרנדס</t>
  </si>
  <si>
    <t>אינדקס</t>
  </si>
  <si>
    <t>גוגל</t>
  </si>
  <si>
    <t>מיוצר על ידי קוד נפרד, נתונים רק מ-2004</t>
  </si>
  <si>
    <t>Monthly</t>
  </si>
  <si>
    <t>פדיון רשתות שיווק</t>
  </si>
  <si>
    <t>דיליי בפרסום</t>
  </si>
  <si>
    <t>כ-3 ימים</t>
  </si>
  <si>
    <t>אין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</si>
  <si>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</si>
  <si>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</si>
  <si>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</si>
  <si>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</si>
  <si>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</si>
  <si>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</si>
  <si>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</si>
  <si>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</si>
  <si>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</si>
  <si>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</si>
  <si>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</si>
  <si>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</si>
  <si>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</si>
  <si>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</si>
  <si>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</si>
  <si>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</si>
  <si>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</si>
  <si>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</si>
  <si>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</si>
  <si>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</si>
  <si>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</si>
  <si>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</si>
  <si>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</si>
  <si>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</si>
  <si>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</si>
  <si>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</si>
  <si>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</si>
  <si>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</si>
  <si>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</si>
  <si>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</si>
  <si>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</si>
  <si>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</si>
  <si>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</si>
  <si>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</si>
  <si>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</si>
  <si>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</si>
  <si>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</si>
  <si>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</si>
  <si>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</si>
  <si>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</si>
  <si>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</si>
  <si>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</si>
  <si>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</si>
  <si>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</si>
  <si>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</si>
  <si>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</si>
  <si>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</si>
  <si>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</si>
  <si>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</si>
  <si>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</si>
  <si>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</si>
  <si>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</si>
  <si>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</si>
  <si>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</si>
  <si>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</si>
  <si>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</si>
  <si>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</si>
  <si>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</si>
  <si>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</si>
  <si>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</si>
  <si>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</si>
  <si>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</si>
  <si>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</si>
  <si>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</si>
  <si>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</si>
  <si>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</si>
  <si>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</si>
  <si>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</si>
  <si>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</si>
  <si>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</si>
  <si>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</si>
  <si>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</si>
  <si>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</si>
  <si>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</si>
  <si>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</si>
  <si>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</si>
  <si>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</si>
  <si>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</si>
  <si>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</si>
  <si>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</si>
  <si>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</si>
  <si>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</si>
  <si>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</si>
  <si>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</si>
  <si>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</si>
  <si>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</si>
  <si>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</si>
  <si>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</si>
  <si>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</si>
  <si>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</si>
  <si>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</si>
  <si>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</si>
  <si>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</si>
  <si>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</si>
  <si>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</si>
  <si>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</si>
  <si>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</si>
  <si>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</si>
  <si>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</si>
  <si>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</si>
  <si>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</si>
  <si>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</si>
  <si>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</si>
  <si>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</si>
  <si>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</si>
  <si>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</si>
  <si>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</si>
  <si>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</si>
  <si>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</si>
  <si>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</si>
  <si>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</si>
  <si>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</si>
  <si>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</si>
  <si>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</si>
  <si>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שם</t>
  </si>
  <si>
    <t>Rev_trade</t>
  </si>
  <si>
    <t>פדיון כל ענפי הכלכלה</t>
  </si>
  <si>
    <t>Rev</t>
  </si>
  <si>
    <t>מנוכה עונתיות, מחירי 2011</t>
  </si>
  <si>
    <t>הלמס</t>
  </si>
  <si>
    <t>50 יום</t>
  </si>
  <si>
    <t>VAT</t>
  </si>
  <si>
    <t>סה"כ מע"מ נטו</t>
  </si>
  <si>
    <t>נתונים שוטפים</t>
  </si>
  <si>
    <t>משרד האוצר</t>
  </si>
  <si>
    <t>rdata</t>
  </si>
  <si>
    <t>taxes</t>
  </si>
  <si>
    <t>מדד אמון הצרכנים</t>
  </si>
  <si>
    <t>cons_trust</t>
  </si>
  <si>
    <t>בנק הפועלים</t>
  </si>
  <si>
    <t>2023Q3</t>
  </si>
  <si>
    <t>2023Q4</t>
  </si>
  <si>
    <t>Quarterly</t>
  </si>
  <si>
    <t>הוצאה לצריכה פרטית</t>
  </si>
  <si>
    <t>מנוכה עונתיות</t>
  </si>
  <si>
    <t>Arkadi</t>
  </si>
  <si>
    <t>Intrest_rate</t>
  </si>
  <si>
    <t>ריבית בנק ישראל</t>
  </si>
  <si>
    <t>בנקודות אחוז</t>
  </si>
  <si>
    <t>GPMN</t>
  </si>
  <si>
    <t>לקחת מ-GPMN אגרגציה רבעונית לפי נתונים יומיים</t>
  </si>
  <si>
    <t>30 יום</t>
  </si>
  <si>
    <t>8 יום</t>
  </si>
  <si>
    <t>CPI</t>
  </si>
  <si>
    <t>2024Q1</t>
  </si>
  <si>
    <t>2024Q2</t>
  </si>
  <si>
    <t>2024Q3</t>
  </si>
  <si>
    <t>GDP</t>
  </si>
  <si>
    <t>real_credit_card</t>
  </si>
  <si>
    <t>Month</t>
  </si>
  <si>
    <t>Quarter</t>
  </si>
  <si>
    <t>Year</t>
  </si>
  <si>
    <t>Oil</t>
  </si>
  <si>
    <t>Dollar</t>
  </si>
  <si>
    <t>Reer</t>
  </si>
  <si>
    <t>sp500</t>
  </si>
  <si>
    <t>2024Q4</t>
  </si>
  <si>
    <t>2025Q1</t>
  </si>
  <si>
    <t>VAT_rate</t>
  </si>
  <si>
    <t>TA125</t>
  </si>
  <si>
    <t>TA35</t>
  </si>
  <si>
    <t>imp</t>
  </si>
  <si>
    <t>indir</t>
  </si>
  <si>
    <t>dir</t>
  </si>
  <si>
    <t>Nasdaq</t>
  </si>
  <si>
    <t>C</t>
  </si>
  <si>
    <t>G</t>
  </si>
  <si>
    <t>I</t>
  </si>
  <si>
    <t>EX</t>
  </si>
  <si>
    <t>IM</t>
  </si>
  <si>
    <t>rev</t>
  </si>
  <si>
    <t>rev_trade</t>
  </si>
  <si>
    <t>rev_trade2</t>
  </si>
  <si>
    <t>rev_food</t>
  </si>
  <si>
    <t>Type</t>
  </si>
  <si>
    <t>Source</t>
  </si>
  <si>
    <t>סה"כ אגף מס הכנסה נטו</t>
  </si>
  <si>
    <t>ניכויים ושוק ההון</t>
  </si>
  <si>
    <t>סה"כ מיסי יבוא</t>
  </si>
  <si>
    <t>סה"כ מיסים מקומיים</t>
  </si>
  <si>
    <t>סה"כ מסים עקיפים</t>
  </si>
  <si>
    <t>Real</t>
  </si>
  <si>
    <t>Nominal</t>
  </si>
  <si>
    <t>SA</t>
  </si>
  <si>
    <t>CBS</t>
  </si>
  <si>
    <t>TAX</t>
  </si>
  <si>
    <t>BOI</t>
  </si>
  <si>
    <t>שיעור תעסוקה (גילאי 25-64)</t>
  </si>
  <si>
    <t>שיעור אבטלה (גילאי 25-64, בנקודות אחוז)</t>
  </si>
  <si>
    <t>שיעור השתתפות  (גילאי 25-64, בנקודות אחוז)</t>
  </si>
  <si>
    <t>משרות שכיר</t>
  </si>
  <si>
    <t>שכר ריאלי</t>
  </si>
  <si>
    <t>Release Lag</t>
  </si>
  <si>
    <t>יתרות מט"ח במליוני דולרים</t>
  </si>
  <si>
    <t>מדד מחירי דירות (1993=100) - אמצע התקופה הנסקרת</t>
  </si>
  <si>
    <t>מדדי ערך רכישות בכרטיסי אשראי (סה"כ) (2002=100)</t>
  </si>
  <si>
    <t>מדד הייצור התעשייתי (סה"כ)</t>
  </si>
  <si>
    <t>המדד המשולב למצב המשק</t>
  </si>
  <si>
    <t>דירות שנמכרו בקצב שנתי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</si>
</sst>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"/>
    <numFmt numFmtId="165" formatCode="_-&quot;₪&quot;* #,##0_-;\-&quot;₪&quot;* #,##0_-;_-&quot;₪&quot;* &quot;-&quot;_-;_-@_-"/>
    <numFmt numFmtId="166" formatCode="#.00"/>
    <numFmt numFmtId="167" formatCode="#."/>
    <numFmt numFmtId="168" formatCode="General_)"/>
    <numFmt numFmtId="169" formatCode="&quot;$&quot;#,##0\ ;\(&quot;$&quot;#,##0\)"/>
    <numFmt numFmtId="170" formatCode="#,##0.0;\-#,##0.0"/>
    <numFmt numFmtId="171" formatCode="mmm\ dd\,\ yyyy"/>
    <numFmt numFmtId="172" formatCode="_(* #,##0_);_(* \(#,##0\);_(* &quot;-&quot;??_);_(@_)"/>
    <numFmt numFmtId="173" formatCode="_(* #,##0.0_);_(* \(#,##0.0\);_(* &quot;-&quot;??_);_(@_)"/>
    <numFmt numFmtId="174" formatCode="#,##0.0"/>
    <numFmt numFmtId="175" formatCode="_ * #,##0_ ;_ * \-#,##0_ ;_ * &quot;-&quot;??_ ;_ @_ "/>
    <numFmt numFmtId="176" formatCode="_(* #,##0.00_);_(* \(#,##0.00\);_(* &quot;-&quot;??_);_(@_)"/>
    <numFmt numFmtId="177" formatCode="_-* #,##0.00_-;\-* #,##0.00_-;_-* &quot;-&quot;??_-;_-@_-"/>
    <numFmt numFmtId="178" formatCode="###,###,###,##0"/>
    <numFmt numFmtId="179" formatCode="#,##0.0_);\(#,##0.0\)"/>
    <numFmt numFmtId="180" formatCode="0.0%"/>
  </numFmts>
  <fonts count="9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name val="David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"/>
      <color indexed="8"/>
      <name val="Courier"/>
      <family val="3"/>
      <charset val="177"/>
    </font>
    <font>
      <b/>
      <sz val="1"/>
      <color indexed="8"/>
      <name val="Courier"/>
      <family val="3"/>
      <charset val="177"/>
    </font>
    <font>
      <u/>
      <sz val="7.5"/>
      <color indexed="12"/>
      <name val="Arial"/>
      <family val="2"/>
    </font>
    <font>
      <sz val="8"/>
      <name val="Times New Roman"/>
      <family val="1"/>
    </font>
    <font>
      <b/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7"/>
      <name val="Switzerland"/>
      <family val="2"/>
      <charset val="177"/>
    </font>
    <font>
      <sz val="6"/>
      <name val="Switzerland"/>
      <family val="2"/>
      <charset val="177"/>
    </font>
    <font>
      <sz val="11"/>
      <name val="Arial"/>
      <family val="2"/>
    </font>
    <font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52"/>
      <name val="Arial"/>
      <family val="2"/>
      <charset val="177"/>
    </font>
    <font>
      <b/>
      <sz val="11"/>
      <color indexed="9"/>
      <name val="Arial"/>
      <family val="2"/>
      <charset val="177"/>
    </font>
    <font>
      <i/>
      <sz val="11"/>
      <color indexed="23"/>
      <name val="Arial"/>
      <family val="2"/>
      <charset val="177"/>
    </font>
    <font>
      <sz val="11"/>
      <color indexed="17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63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b/>
      <sz val="6"/>
      <name val="Arial"/>
      <family val="2"/>
    </font>
    <font>
      <u/>
      <sz val="10"/>
      <color indexed="30"/>
      <name val="Arial"/>
      <family val="2"/>
    </font>
    <font>
      <b/>
      <sz val="10"/>
      <color indexed="8"/>
      <name val="Verdana"/>
      <family val="2"/>
    </font>
    <font>
      <b/>
      <sz val="16"/>
      <color indexed="10"/>
      <name val="Verdana"/>
      <family val="2"/>
    </font>
    <font>
      <sz val="11"/>
      <color theme="1"/>
      <name val="David"/>
      <family val="2"/>
      <charset val="177"/>
    </font>
    <font>
      <b/>
      <sz val="11"/>
      <color indexed="10"/>
      <name val="Arial"/>
      <family val="2"/>
      <charset val="177"/>
      <scheme val="minor"/>
    </font>
    <font>
      <b/>
      <sz val="15"/>
      <color indexed="62"/>
      <name val="Arial"/>
      <family val="2"/>
      <charset val="177"/>
      <scheme val="minor"/>
    </font>
    <font>
      <b/>
      <sz val="13"/>
      <color indexed="62"/>
      <name val="Arial"/>
      <family val="2"/>
      <charset val="177"/>
      <scheme val="minor"/>
    </font>
    <font>
      <b/>
      <sz val="11"/>
      <color indexed="62"/>
      <name val="Arial"/>
      <family val="2"/>
      <charset val="177"/>
      <scheme val="minor"/>
    </font>
    <font>
      <b/>
      <sz val="18"/>
      <color indexed="62"/>
      <name val="Times New Roman"/>
      <family val="2"/>
      <charset val="177"/>
      <scheme val="major"/>
    </font>
    <font>
      <sz val="11"/>
      <color indexed="19"/>
      <name val="Arial"/>
      <family val="2"/>
      <charset val="177"/>
      <scheme val="minor"/>
    </font>
    <font>
      <sz val="11"/>
      <color indexed="10"/>
      <name val="Arial"/>
      <family val="2"/>
      <charset val="177"/>
      <scheme val="minor"/>
    </font>
    <font>
      <sz val="11"/>
      <color indexed="8"/>
      <name val="Calibri"/>
      <family val="2"/>
      <charset val="177"/>
    </font>
    <font>
      <sz val="11"/>
      <color indexed="9"/>
      <name val="Calibri"/>
      <family val="2"/>
      <charset val="177"/>
    </font>
    <font>
      <sz val="11"/>
      <color indexed="20"/>
      <name val="Calibri"/>
      <family val="2"/>
      <charset val="177"/>
    </font>
    <font>
      <b/>
      <sz val="11"/>
      <color indexed="10"/>
      <name val="Calibri"/>
      <family val="2"/>
      <charset val="177"/>
    </font>
    <font>
      <b/>
      <sz val="11"/>
      <color indexed="9"/>
      <name val="Calibri"/>
      <family val="2"/>
      <charset val="177"/>
    </font>
    <font>
      <i/>
      <sz val="11"/>
      <color indexed="23"/>
      <name val="Calibri"/>
      <family val="2"/>
      <charset val="177"/>
    </font>
    <font>
      <sz val="11"/>
      <color indexed="17"/>
      <name val="Calibri"/>
      <family val="2"/>
      <charset val="177"/>
    </font>
    <font>
      <b/>
      <sz val="15"/>
      <color indexed="62"/>
      <name val="Calibri"/>
      <family val="2"/>
      <charset val="177"/>
    </font>
    <font>
      <b/>
      <sz val="13"/>
      <color indexed="62"/>
      <name val="Calibri"/>
      <family val="2"/>
      <charset val="177"/>
    </font>
    <font>
      <b/>
      <sz val="11"/>
      <color indexed="62"/>
      <name val="Calibri"/>
      <family val="2"/>
      <charset val="177"/>
    </font>
    <font>
      <sz val="11"/>
      <color indexed="62"/>
      <name val="Calibri"/>
      <family val="2"/>
      <charset val="177"/>
    </font>
    <font>
      <sz val="11"/>
      <color indexed="10"/>
      <name val="Calibri"/>
      <family val="2"/>
      <charset val="177"/>
    </font>
    <font>
      <sz val="11"/>
      <color indexed="19"/>
      <name val="Calibri"/>
      <family val="2"/>
      <charset val="177"/>
    </font>
    <font>
      <b/>
      <sz val="11"/>
      <color indexed="63"/>
      <name val="Calibri"/>
      <family val="2"/>
      <charset val="177"/>
    </font>
    <font>
      <b/>
      <sz val="18"/>
      <color indexed="62"/>
      <name val="Cambria"/>
      <family val="2"/>
      <charset val="177"/>
    </font>
    <font>
      <b/>
      <sz val="11"/>
      <color indexed="8"/>
      <name val="Calibri"/>
      <family val="2"/>
      <charset val="177"/>
    </font>
    <font>
      <u/>
      <sz val="11.5"/>
      <color indexed="12"/>
      <name val="Arial"/>
      <family val="2"/>
    </font>
    <font>
      <sz val="10"/>
      <name val="Arial"/>
    </font>
    <font>
      <sz val="10"/>
      <name val="Arial"/>
      <charset val="177"/>
    </font>
    <font>
      <sz val="11"/>
      <color indexed="8"/>
      <name val="Arial"/>
      <family val="2"/>
      <scheme val="minor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David"/>
      <family val="2"/>
      <charset val="177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  <charset val="177"/>
    </font>
    <font>
      <sz val="11"/>
      <name val="Arial"/>
      <family val="2"/>
      <charset val="177"/>
    </font>
    <font>
      <sz val="8"/>
      <name val="Arial"/>
      <family val="2"/>
      <charset val="177"/>
    </font>
    <font>
      <sz val="12"/>
      <color indexed="8"/>
      <name val="Arial"/>
      <family val="2"/>
      <charset val="177"/>
    </font>
    <font>
      <sz val="7"/>
      <name val="Arial"/>
      <family val="2"/>
      <charset val="177"/>
    </font>
    <font>
      <sz val="11"/>
      <color rgb="FF000000"/>
      <name val="Arial"/>
      <family val="2"/>
      <charset val="177"/>
    </font>
    <font>
      <sz val="12"/>
      <color theme="1"/>
      <name val="David"/>
      <family val="2"/>
      <charset val="177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ourier"/>
      <family val="3"/>
      <charset val="177"/>
    </font>
    <font>
      <sz val="10"/>
      <name val="Arial"/>
      <family val="2"/>
      <scheme val="minor"/>
    </font>
    <font>
      <sz val="8"/>
      <name val="Times New Roman"/>
      <charset val="177"/>
    </font>
  </fonts>
  <fills count="4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FCF2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01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9" borderId="0" applyNumberFormat="0" applyBorder="0" applyAlignment="0" applyProtection="0"/>
    <xf numFmtId="0" fontId="30" fillId="13" borderId="0" applyNumberFormat="0" applyBorder="0" applyAlignment="0" applyProtection="0"/>
    <xf numFmtId="0" fontId="30" fillId="16" borderId="0" applyNumberFormat="0" applyBorder="0" applyAlignment="0" applyProtection="0"/>
    <xf numFmtId="0" fontId="30" fillId="20" borderId="0" applyNumberFormat="0" applyBorder="0" applyAlignment="0" applyProtection="0"/>
    <xf numFmtId="0" fontId="1" fillId="14" borderId="0" applyNumberFormat="0" applyBorder="0" applyAlignment="0" applyProtection="0"/>
    <xf numFmtId="0" fontId="1" fillId="7" borderId="0" applyNumberFormat="0" applyBorder="0" applyAlignment="0" applyProtection="0"/>
    <xf numFmtId="0" fontId="1" fillId="2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17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15" fillId="14" borderId="0" applyNumberFormat="0" applyBorder="0" applyAlignment="0" applyProtection="0"/>
    <xf numFmtId="0" fontId="15" fillId="26" borderId="0" applyNumberFormat="0" applyBorder="0" applyAlignment="0" applyProtection="0"/>
    <xf numFmtId="0" fontId="15" fillId="2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7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6" borderId="0" applyNumberFormat="0" applyBorder="0" applyAlignment="0" applyProtection="0"/>
    <xf numFmtId="0" fontId="32" fillId="11" borderId="0" applyNumberFormat="0" applyBorder="0" applyAlignment="0" applyProtection="0"/>
    <xf numFmtId="0" fontId="33" fillId="30" borderId="5" applyNumberFormat="0" applyAlignment="0" applyProtection="0"/>
    <xf numFmtId="0" fontId="34" fillId="31" borderId="6" applyNumberFormat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19" fillId="0" borderId="0">
      <protection locked="0"/>
    </xf>
    <xf numFmtId="0" fontId="49" fillId="0" borderId="0"/>
    <xf numFmtId="0" fontId="50" fillId="0" borderId="0"/>
    <xf numFmtId="0" fontId="35" fillId="0" borderId="0" applyNumberFormat="0" applyFill="0" applyBorder="0" applyAlignment="0" applyProtection="0"/>
    <xf numFmtId="166" fontId="19" fillId="0" borderId="0">
      <protection locked="0"/>
    </xf>
    <xf numFmtId="0" fontId="36" fillId="12" borderId="0" applyNumberFormat="0" applyBorder="0" applyAlignment="0" applyProtection="0"/>
    <xf numFmtId="0" fontId="24" fillId="0" borderId="0" applyNumberFormat="0" applyFont="0" applyFill="0" applyAlignment="0" applyProtection="0"/>
    <xf numFmtId="0" fontId="37" fillId="0" borderId="7" applyNumberFormat="0" applyFill="0" applyAlignment="0" applyProtection="0"/>
    <xf numFmtId="0" fontId="25" fillId="0" borderId="0" applyNumberFormat="0" applyFont="0" applyFill="0" applyAlignment="0" applyProtection="0"/>
    <xf numFmtId="0" fontId="38" fillId="0" borderId="8" applyNumberFormat="0" applyFill="0" applyAlignment="0" applyProtection="0"/>
    <xf numFmtId="0" fontId="39" fillId="0" borderId="9" applyNumberFormat="0" applyFill="0" applyAlignment="0" applyProtection="0"/>
    <xf numFmtId="0" fontId="39" fillId="0" borderId="0" applyNumberFormat="0" applyFill="0" applyBorder="0" applyAlignment="0" applyProtection="0"/>
    <xf numFmtId="167" fontId="20" fillId="0" borderId="0">
      <protection locked="0"/>
    </xf>
    <xf numFmtId="167" fontId="20" fillId="0" borderId="0"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40" fillId="15" borderId="5" applyNumberFormat="0" applyAlignment="0" applyProtection="0"/>
    <xf numFmtId="0" fontId="41" fillId="0" borderId="10" applyNumberFormat="0" applyFill="0" applyAlignment="0" applyProtection="0"/>
    <xf numFmtId="168" fontId="23" fillId="0" borderId="0" applyNumberFormat="0" applyBorder="0" applyAlignment="0">
      <alignment horizontal="left" vertical="center"/>
    </xf>
    <xf numFmtId="0" fontId="42" fillId="2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7" fillId="0" borderId="0"/>
    <xf numFmtId="0" fontId="51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2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18" borderId="11" applyNumberFormat="0" applyFont="0" applyAlignment="0" applyProtection="0"/>
    <xf numFmtId="0" fontId="43" fillId="30" borderId="12" applyNumberFormat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1" fontId="18" fillId="0" borderId="0" applyFill="0" applyBorder="0" applyAlignment="0" applyProtection="0">
      <alignment wrapText="1"/>
    </xf>
    <xf numFmtId="171" fontId="18" fillId="0" borderId="0" applyFill="0" applyBorder="0" applyAlignment="0" applyProtection="0">
      <alignment wrapText="1"/>
    </xf>
    <xf numFmtId="168" fontId="27" fillId="0" borderId="0" applyNumberFormat="0" applyFill="0" applyBorder="0" applyProtection="0"/>
    <xf numFmtId="170" fontId="28" fillId="0" borderId="0" applyFill="0" applyBorder="0" applyProtection="0">
      <alignment horizontal="right"/>
    </xf>
    <xf numFmtId="0" fontId="44" fillId="0" borderId="0" applyNumberFormat="0" applyFill="0" applyBorder="0" applyAlignment="0" applyProtection="0"/>
    <xf numFmtId="167" fontId="19" fillId="0" borderId="13">
      <protection locked="0"/>
    </xf>
    <xf numFmtId="0" fontId="45" fillId="0" borderId="14" applyNumberFormat="0" applyFill="0" applyAlignment="0" applyProtection="0"/>
    <xf numFmtId="168" fontId="47" fillId="0" borderId="0" applyNumberFormat="0" applyBorder="0" applyAlignment="0">
      <alignment horizontal="left" readingOrder="1"/>
    </xf>
    <xf numFmtId="0" fontId="46" fillId="0" borderId="0" applyNumberFormat="0" applyFill="0" applyBorder="0" applyAlignment="0" applyProtection="0"/>
    <xf numFmtId="0" fontId="15" fillId="32" borderId="0" applyNumberFormat="0" applyBorder="0" applyAlignment="0" applyProtection="0"/>
    <xf numFmtId="0" fontId="15" fillId="26" borderId="0" applyNumberFormat="0" applyBorder="0" applyAlignment="0" applyProtection="0"/>
    <xf numFmtId="0" fontId="15" fillId="20" borderId="0" applyNumberFormat="0" applyBorder="0" applyAlignment="0" applyProtection="0"/>
    <xf numFmtId="0" fontId="15" fillId="33" borderId="0" applyNumberFormat="0" applyBorder="0" applyAlignment="0" applyProtection="0"/>
    <xf numFmtId="0" fontId="15" fillId="8" borderId="0" applyNumberFormat="0" applyBorder="0" applyAlignment="0" applyProtection="0"/>
    <xf numFmtId="0" fontId="15" fillId="28" borderId="0" applyNumberFormat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30" fillId="6" borderId="4" applyNumberFormat="0" applyFont="0" applyAlignment="0" applyProtection="0"/>
    <xf numFmtId="0" fontId="52" fillId="34" borderId="1" applyNumberFormat="0" applyAlignment="0" applyProtection="0"/>
    <xf numFmtId="0" fontId="7" fillId="14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3" fillId="0" borderId="15" applyNumberFormat="0" applyFill="0" applyAlignment="0" applyProtection="0"/>
    <xf numFmtId="0" fontId="54" fillId="0" borderId="16" applyNumberFormat="0" applyFill="0" applyAlignment="0" applyProtection="0"/>
    <xf numFmtId="0" fontId="55" fillId="0" borderId="17" applyNumberFormat="0" applyFill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4" borderId="0" applyNumberFormat="0" applyBorder="0" applyAlignment="0" applyProtection="0"/>
    <xf numFmtId="0" fontId="14" fillId="0" borderId="18" applyNumberFormat="0" applyFill="0" applyAlignment="0" applyProtection="0"/>
    <xf numFmtId="0" fontId="10" fillId="34" borderId="2" applyNumberFormat="0" applyAlignment="0" applyProtection="0"/>
    <xf numFmtId="0" fontId="9" fillId="21" borderId="1" applyNumberFormat="0" applyAlignment="0" applyProtection="0"/>
    <xf numFmtId="0" fontId="8" fillId="13" borderId="0" applyNumberFormat="0" applyBorder="0" applyAlignment="0" applyProtection="0"/>
    <xf numFmtId="0" fontId="11" fillId="5" borderId="3" applyNumberFormat="0" applyAlignment="0" applyProtection="0"/>
    <xf numFmtId="0" fontId="58" fillId="0" borderId="19" applyNumberFormat="0" applyFill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22" fillId="0" borderId="0"/>
    <xf numFmtId="0" fontId="1" fillId="0" borderId="0"/>
    <xf numFmtId="0" fontId="1" fillId="6" borderId="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59" fillId="16" borderId="0" applyNumberFormat="0" applyBorder="0" applyAlignment="0" applyProtection="0"/>
    <xf numFmtId="0" fontId="59" fillId="17" borderId="0" applyNumberFormat="0" applyBorder="0" applyAlignment="0" applyProtection="0"/>
    <xf numFmtId="0" fontId="59" fillId="18" borderId="0" applyNumberFormat="0" applyBorder="0" applyAlignment="0" applyProtection="0"/>
    <xf numFmtId="0" fontId="59" fillId="15" borderId="0" applyNumberFormat="0" applyBorder="0" applyAlignment="0" applyProtection="0"/>
    <xf numFmtId="0" fontId="59" fillId="14" borderId="0" applyNumberFormat="0" applyBorder="0" applyAlignment="0" applyProtection="0"/>
    <xf numFmtId="0" fontId="59" fillId="18" borderId="0" applyNumberFormat="0" applyBorder="0" applyAlignment="0" applyProtection="0"/>
    <xf numFmtId="0" fontId="59" fillId="14" borderId="0" applyNumberFormat="0" applyBorder="0" applyAlignment="0" applyProtection="0"/>
    <xf numFmtId="0" fontId="59" fillId="17" borderId="0" applyNumberFormat="0" applyBorder="0" applyAlignment="0" applyProtection="0"/>
    <xf numFmtId="0" fontId="59" fillId="21" borderId="0" applyNumberFormat="0" applyBorder="0" applyAlignment="0" applyProtection="0"/>
    <xf numFmtId="0" fontId="59" fillId="11" borderId="0" applyNumberFormat="0" applyBorder="0" applyAlignment="0" applyProtection="0"/>
    <xf numFmtId="0" fontId="59" fillId="14" borderId="0" applyNumberFormat="0" applyBorder="0" applyAlignment="0" applyProtection="0"/>
    <xf numFmtId="0" fontId="59" fillId="18" borderId="0" applyNumberFormat="0" applyBorder="0" applyAlignment="0" applyProtection="0"/>
    <xf numFmtId="0" fontId="60" fillId="14" borderId="0" applyNumberFormat="0" applyBorder="0" applyAlignment="0" applyProtection="0"/>
    <xf numFmtId="0" fontId="60" fillId="26" borderId="0" applyNumberFormat="0" applyBorder="0" applyAlignment="0" applyProtection="0"/>
    <xf numFmtId="0" fontId="60" fillId="20" borderId="0" applyNumberFormat="0" applyBorder="0" applyAlignment="0" applyProtection="0"/>
    <xf numFmtId="0" fontId="60" fillId="11" borderId="0" applyNumberFormat="0" applyBorder="0" applyAlignment="0" applyProtection="0"/>
    <xf numFmtId="0" fontId="60" fillId="14" borderId="0" applyNumberFormat="0" applyBorder="0" applyAlignment="0" applyProtection="0"/>
    <xf numFmtId="0" fontId="60" fillId="17" borderId="0" applyNumberFormat="0" applyBorder="0" applyAlignment="0" applyProtection="0"/>
    <xf numFmtId="0" fontId="60" fillId="32" borderId="0" applyNumberFormat="0" applyBorder="0" applyAlignment="0" applyProtection="0"/>
    <xf numFmtId="0" fontId="60" fillId="26" borderId="0" applyNumberFormat="0" applyBorder="0" applyAlignment="0" applyProtection="0"/>
    <xf numFmtId="0" fontId="60" fillId="20" borderId="0" applyNumberFormat="0" applyBorder="0" applyAlignment="0" applyProtection="0"/>
    <xf numFmtId="0" fontId="60" fillId="33" borderId="0" applyNumberFormat="0" applyBorder="0" applyAlignment="0" applyProtection="0"/>
    <xf numFmtId="0" fontId="60" fillId="24" borderId="0" applyNumberFormat="0" applyBorder="0" applyAlignment="0" applyProtection="0"/>
    <xf numFmtId="0" fontId="60" fillId="28" borderId="0" applyNumberFormat="0" applyBorder="0" applyAlignment="0" applyProtection="0"/>
    <xf numFmtId="0" fontId="61" fillId="13" borderId="0" applyNumberFormat="0" applyBorder="0" applyAlignment="0" applyProtection="0"/>
    <xf numFmtId="0" fontId="62" fillId="34" borderId="5" applyNumberFormat="0" applyAlignment="0" applyProtection="0"/>
    <xf numFmtId="0" fontId="63" fillId="31" borderId="6" applyNumberFormat="0" applyAlignment="0" applyProtection="0"/>
    <xf numFmtId="0" fontId="49" fillId="0" borderId="0"/>
    <xf numFmtId="0" fontId="50" fillId="0" borderId="0"/>
    <xf numFmtId="0" fontId="64" fillId="0" borderId="0" applyNumberFormat="0" applyFill="0" applyBorder="0" applyAlignment="0" applyProtection="0"/>
    <xf numFmtId="0" fontId="65" fillId="14" borderId="0" applyNumberFormat="0" applyBorder="0" applyAlignment="0" applyProtection="0"/>
    <xf numFmtId="0" fontId="66" fillId="0" borderId="15" applyNumberFormat="0" applyFill="0" applyAlignment="0" applyProtection="0"/>
    <xf numFmtId="0" fontId="67" fillId="0" borderId="16" applyNumberFormat="0" applyFill="0" applyAlignment="0" applyProtection="0"/>
    <xf numFmtId="0" fontId="68" fillId="0" borderId="17" applyNumberFormat="0" applyFill="0" applyAlignment="0" applyProtection="0"/>
    <xf numFmtId="0" fontId="68" fillId="0" borderId="0" applyNumberFormat="0" applyFill="0" applyBorder="0" applyAlignment="0" applyProtection="0"/>
    <xf numFmtId="0" fontId="69" fillId="21" borderId="5" applyNumberFormat="0" applyAlignment="0" applyProtection="0"/>
    <xf numFmtId="0" fontId="70" fillId="0" borderId="19" applyNumberFormat="0" applyFill="0" applyAlignment="0" applyProtection="0"/>
    <xf numFmtId="0" fontId="71" fillId="21" borderId="0" applyNumberFormat="0" applyBorder="0" applyAlignment="0" applyProtection="0"/>
    <xf numFmtId="0" fontId="18" fillId="18" borderId="11" applyNumberFormat="0" applyFont="0" applyAlignment="0" applyProtection="0"/>
    <xf numFmtId="0" fontId="72" fillId="34" borderId="12" applyNumberFormat="0" applyAlignment="0" applyProtection="0"/>
    <xf numFmtId="0" fontId="73" fillId="0" borderId="0" applyNumberFormat="0" applyFill="0" applyBorder="0" applyAlignment="0" applyProtection="0"/>
    <xf numFmtId="0" fontId="74" fillId="0" borderId="18" applyNumberFormat="0" applyFill="0" applyAlignment="0" applyProtection="0"/>
    <xf numFmtId="0" fontId="70" fillId="0" borderId="0" applyNumberFormat="0" applyFill="0" applyBorder="0" applyAlignment="0" applyProtection="0"/>
    <xf numFmtId="0" fontId="18" fillId="0" borderId="0"/>
    <xf numFmtId="0" fontId="1" fillId="0" borderId="0"/>
    <xf numFmtId="0" fontId="1" fillId="6" borderId="4" applyNumberFormat="0" applyFont="0" applyAlignment="0" applyProtection="0"/>
    <xf numFmtId="43" fontId="18" fillId="0" borderId="0" applyFont="0" applyFill="0" applyBorder="0" applyAlignment="0" applyProtection="0"/>
    <xf numFmtId="0" fontId="18" fillId="18" borderId="11" applyNumberFormat="0" applyFont="0" applyAlignment="0" applyProtection="0"/>
    <xf numFmtId="43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6" borderId="4" applyNumberFormat="0" applyFont="0" applyAlignment="0" applyProtection="0"/>
    <xf numFmtId="0" fontId="18" fillId="0" borderId="0"/>
    <xf numFmtId="43" fontId="18" fillId="0" borderId="0" applyFont="0" applyFill="0" applyBorder="0" applyAlignment="0" applyProtection="0"/>
    <xf numFmtId="0" fontId="49" fillId="0" borderId="0"/>
    <xf numFmtId="0" fontId="50" fillId="0" borderId="0"/>
    <xf numFmtId="0" fontId="18" fillId="18" borderId="1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22" fillId="0" borderId="0"/>
    <xf numFmtId="43" fontId="18" fillId="0" borderId="0" applyFont="0" applyFill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9" borderId="0" applyNumberFormat="0" applyBorder="0" applyAlignment="0" applyProtection="0"/>
    <xf numFmtId="0" fontId="30" fillId="13" borderId="0" applyNumberFormat="0" applyBorder="0" applyAlignment="0" applyProtection="0"/>
    <xf numFmtId="0" fontId="30" fillId="16" borderId="0" applyNumberFormat="0" applyBorder="0" applyAlignment="0" applyProtection="0"/>
    <xf numFmtId="0" fontId="30" fillId="20" borderId="0" applyNumberFormat="0" applyBorder="0" applyAlignment="0" applyProtection="0"/>
    <xf numFmtId="0" fontId="31" fillId="22" borderId="0" applyNumberFormat="0" applyBorder="0" applyAlignment="0" applyProtection="0"/>
    <xf numFmtId="0" fontId="31" fillId="17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6" borderId="0" applyNumberFormat="0" applyBorder="0" applyAlignment="0" applyProtection="0"/>
    <xf numFmtId="0" fontId="32" fillId="11" borderId="0" applyNumberFormat="0" applyBorder="0" applyAlignment="0" applyProtection="0"/>
    <xf numFmtId="0" fontId="33" fillId="30" borderId="5" applyNumberFormat="0" applyAlignment="0" applyProtection="0"/>
    <xf numFmtId="0" fontId="34" fillId="31" borderId="6" applyNumberFormat="0" applyAlignment="0" applyProtection="0"/>
    <xf numFmtId="0" fontId="49" fillId="0" borderId="0"/>
    <xf numFmtId="0" fontId="50" fillId="0" borderId="0"/>
    <xf numFmtId="0" fontId="35" fillId="0" borderId="0" applyNumberFormat="0" applyFill="0" applyBorder="0" applyAlignment="0" applyProtection="0"/>
    <xf numFmtId="0" fontId="36" fillId="12" borderId="0" applyNumberFormat="0" applyBorder="0" applyAlignment="0" applyProtection="0"/>
    <xf numFmtId="0" fontId="39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40" fillId="15" borderId="5" applyNumberFormat="0" applyAlignment="0" applyProtection="0"/>
    <xf numFmtId="0" fontId="41" fillId="0" borderId="10" applyNumberFormat="0" applyFill="0" applyAlignment="0" applyProtection="0"/>
    <xf numFmtId="0" fontId="42" fillId="21" borderId="0" applyNumberFormat="0" applyBorder="0" applyAlignment="0" applyProtection="0"/>
    <xf numFmtId="0" fontId="18" fillId="18" borderId="11" applyNumberFormat="0" applyFont="0" applyAlignment="0" applyProtection="0"/>
    <xf numFmtId="0" fontId="43" fillId="30" borderId="12" applyNumberFormat="0" applyAlignment="0" applyProtection="0"/>
    <xf numFmtId="0" fontId="44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6" borderId="4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7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18" fillId="18" borderId="11" applyNumberFormat="0" applyFont="0" applyAlignment="0" applyProtection="0"/>
    <xf numFmtId="0" fontId="18" fillId="18" borderId="11" applyNumberFormat="0" applyFont="0" applyAlignment="0" applyProtection="0"/>
    <xf numFmtId="0" fontId="33" fillId="30" borderId="5" applyNumberFormat="0" applyAlignment="0" applyProtection="0"/>
    <xf numFmtId="0" fontId="33" fillId="30" borderId="5" applyNumberFormat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5" fillId="0" borderId="14" applyNumberFormat="0" applyFill="0" applyAlignment="0" applyProtection="0"/>
    <xf numFmtId="0" fontId="45" fillId="0" borderId="14" applyNumberFormat="0" applyFill="0" applyAlignment="0" applyProtection="0"/>
    <xf numFmtId="0" fontId="43" fillId="30" borderId="12" applyNumberFormat="0" applyAlignment="0" applyProtection="0"/>
    <xf numFmtId="0" fontId="43" fillId="30" borderId="12" applyNumberFormat="0" applyAlignment="0" applyProtection="0"/>
    <xf numFmtId="0" fontId="40" fillId="15" borderId="5" applyNumberFormat="0" applyAlignment="0" applyProtection="0"/>
    <xf numFmtId="0" fontId="40" fillId="15" borderId="5" applyNumberFormat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4" fillId="31" borderId="6" applyNumberFormat="0" applyAlignment="0" applyProtection="0"/>
    <xf numFmtId="0" fontId="34" fillId="31" borderId="6" applyNumberFormat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43" fontId="18" fillId="0" borderId="0" applyFont="0" applyFill="0" applyBorder="0" applyAlignment="0" applyProtection="0"/>
    <xf numFmtId="0" fontId="4" fillId="0" borderId="0"/>
    <xf numFmtId="0" fontId="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 applyProtection="0">
      <alignment wrapText="1"/>
    </xf>
    <xf numFmtId="171" fontId="4" fillId="0" borderId="0" applyFill="0" applyBorder="0" applyAlignment="0" applyProtection="0">
      <alignment wrapText="1"/>
    </xf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8" borderId="11" applyNumberFormat="0" applyFont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8" borderId="11" applyNumberFormat="0" applyFont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8" borderId="11" applyNumberFormat="0" applyFon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8" borderId="11" applyNumberFormat="0" applyFont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8" borderId="11" applyNumberFormat="0" applyFont="0" applyAlignment="0" applyProtection="0"/>
    <xf numFmtId="0" fontId="4" fillId="18" borderId="11" applyNumberFormat="0" applyFont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6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7" fillId="0" borderId="0"/>
    <xf numFmtId="0" fontId="76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 applyProtection="0">
      <alignment wrapText="1"/>
    </xf>
    <xf numFmtId="171" fontId="4" fillId="0" borderId="0" applyFill="0" applyBorder="0" applyAlignment="0" applyProtection="0">
      <alignment wrapText="1"/>
    </xf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18" borderId="11" applyNumberFormat="0" applyFont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18" borderId="11" applyNumberFormat="0" applyFont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8" borderId="11" applyNumberFormat="0" applyFon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18" borderId="11" applyNumberFormat="0" applyFont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8" borderId="11" applyNumberFormat="0" applyFont="0" applyAlignment="0" applyProtection="0"/>
    <xf numFmtId="0" fontId="4" fillId="18" borderId="11" applyNumberFormat="0" applyFont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78" fillId="0" borderId="0"/>
    <xf numFmtId="0" fontId="79" fillId="0" borderId="0"/>
    <xf numFmtId="0" fontId="81" fillId="0" borderId="20">
      <alignment horizontal="center" vertical="center" wrapText="1"/>
    </xf>
    <xf numFmtId="0" fontId="81" fillId="0" borderId="20">
      <alignment horizontal="center" vertical="center"/>
    </xf>
    <xf numFmtId="0" fontId="80" fillId="0" borderId="20">
      <alignment horizontal="center" vertical="center" wrapText="1"/>
    </xf>
    <xf numFmtId="0" fontId="80" fillId="0" borderId="21">
      <alignment horizontal="center" vertical="center" wrapText="1"/>
    </xf>
    <xf numFmtId="0" fontId="79" fillId="0" borderId="22">
      <alignment horizontal="center" vertical="center"/>
    </xf>
    <xf numFmtId="0" fontId="79" fillId="0" borderId="23">
      <alignment horizontal="center" vertical="center"/>
    </xf>
    <xf numFmtId="0" fontId="79" fillId="36" borderId="23">
      <alignment horizontal="center" vertical="center"/>
    </xf>
    <xf numFmtId="0" fontId="79" fillId="37" borderId="23">
      <alignment horizontal="center" vertical="center"/>
    </xf>
    <xf numFmtId="43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94" fillId="0" borderId="0"/>
    <xf numFmtId="0" fontId="96" fillId="0" borderId="0"/>
  </cellStyleXfs>
  <cellXfs count="86">
    <xf numFmtId="0" fontId="0" fillId="0" borderId="0" xfId="0"/>
    <xf numFmtId="0" fontId="3" fillId="2" borderId="0" xfId="0" applyFont="1" applyFill="1" applyAlignment="1">
      <alignment wrapText="1"/>
    </xf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3" fontId="5" fillId="0" borderId="0" xfId="816" applyNumberFormat="1" applyBorder="1" applyAlignment="1">
      <alignment horizontal="center"/>
    </xf>
    <xf numFmtId="0" fontId="0" fillId="0" borderId="0" xfId="0" applyBorder="1" applyAlignment="1">
      <alignment horizontal="center"/>
    </xf>
    <xf numFmtId="3" fontId="4" fillId="0" borderId="0" xfId="1379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2" fontId="2" fillId="0" borderId="0" xfId="1" applyNumberFormat="1" applyFont="1" applyAlignment="1">
      <alignment horizontal="center"/>
    </xf>
    <xf numFmtId="174" fontId="2" fillId="0" borderId="0" xfId="301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74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175" fontId="1" fillId="0" borderId="0" xfId="1" applyNumberFormat="1" applyFont="1" applyAlignment="1">
      <alignment horizontal="center"/>
    </xf>
    <xf numFmtId="178" fontId="82" fillId="39" borderId="0" xfId="0" applyNumberFormat="1" applyFont="1" applyFill="1" applyAlignment="1">
      <alignment horizontal="center" shrinkToFit="1" readingOrder="1"/>
    </xf>
    <xf numFmtId="43" fontId="2" fillId="3" borderId="0" xfId="1" applyFont="1" applyFill="1" applyBorder="1" applyAlignment="1">
      <alignment horizontal="center"/>
    </xf>
    <xf numFmtId="43" fontId="2" fillId="35" borderId="0" xfId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 wrapText="1"/>
    </xf>
    <xf numFmtId="0" fontId="0" fillId="0" borderId="0" xfId="0" applyFont="1" applyAlignment="1">
      <alignment horizontal="center" wrapText="1"/>
    </xf>
    <xf numFmtId="172" fontId="1" fillId="0" borderId="0" xfId="1" applyNumberFormat="1" applyFont="1" applyAlignment="1">
      <alignment horizontal="center"/>
    </xf>
    <xf numFmtId="173" fontId="85" fillId="0" borderId="0" xfId="1" applyNumberFormat="1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2" fontId="0" fillId="0" borderId="0" xfId="0" applyNumberFormat="1" applyFont="1" applyAlignment="1">
      <alignment horizontal="center" wrapText="1"/>
    </xf>
    <xf numFmtId="0" fontId="86" fillId="0" borderId="0" xfId="416" applyFont="1" applyAlignment="1">
      <alignment horizontal="center"/>
    </xf>
    <xf numFmtId="9" fontId="0" fillId="35" borderId="0" xfId="0" applyNumberFormat="1" applyFont="1" applyFill="1" applyAlignment="1">
      <alignment horizontal="center"/>
    </xf>
    <xf numFmtId="0" fontId="0" fillId="0" borderId="0" xfId="0" applyFont="1" applyBorder="1" applyAlignment="1">
      <alignment horizontal="center"/>
    </xf>
    <xf numFmtId="179" fontId="0" fillId="0" borderId="0" xfId="0" applyNumberFormat="1" applyFont="1" applyBorder="1" applyAlignment="1">
      <alignment horizontal="center"/>
    </xf>
    <xf numFmtId="9" fontId="0" fillId="0" borderId="0" xfId="0" applyNumberFormat="1" applyFont="1" applyAlignment="1">
      <alignment horizontal="center"/>
    </xf>
    <xf numFmtId="173" fontId="85" fillId="0" borderId="0" xfId="1720" applyNumberFormat="1" applyFont="1" applyAlignment="1">
      <alignment horizontal="center" wrapText="1"/>
    </xf>
    <xf numFmtId="172" fontId="1" fillId="0" borderId="0" xfId="1" applyNumberFormat="1" applyFont="1" applyFill="1" applyAlignment="1">
      <alignment horizontal="center"/>
    </xf>
    <xf numFmtId="174" fontId="1" fillId="0" borderId="0" xfId="1720" applyNumberFormat="1" applyFont="1" applyAlignment="1">
      <alignment horizontal="center"/>
    </xf>
    <xf numFmtId="173" fontId="85" fillId="0" borderId="0" xfId="1" applyNumberFormat="1" applyFont="1" applyAlignment="1">
      <alignment horizontal="center"/>
    </xf>
    <xf numFmtId="174" fontId="1" fillId="38" borderId="0" xfId="1720" applyNumberFormat="1" applyFont="1" applyFill="1" applyAlignment="1">
      <alignment horizontal="center"/>
    </xf>
    <xf numFmtId="172" fontId="87" fillId="0" borderId="0" xfId="1" applyNumberFormat="1" applyFont="1" applyFill="1" applyBorder="1" applyAlignment="1">
      <alignment horizontal="center"/>
    </xf>
    <xf numFmtId="176" fontId="87" fillId="0" borderId="0" xfId="1" applyNumberFormat="1" applyFont="1" applyFill="1" applyBorder="1" applyAlignment="1">
      <alignment horizontal="center"/>
    </xf>
    <xf numFmtId="174" fontId="88" fillId="0" borderId="21" xfId="3005" applyNumberFormat="1" applyFont="1" applyAlignment="1">
      <alignment horizontal="center" vertical="center" wrapText="1"/>
    </xf>
    <xf numFmtId="179" fontId="1" fillId="0" borderId="0" xfId="1" applyNumberFormat="1" applyFont="1" applyAlignment="1">
      <alignment horizontal="center"/>
    </xf>
    <xf numFmtId="179" fontId="85" fillId="0" borderId="0" xfId="1" applyNumberFormat="1" applyFont="1" applyAlignment="1">
      <alignment horizontal="center"/>
    </xf>
    <xf numFmtId="10" fontId="0" fillId="35" borderId="0" xfId="0" applyNumberFormat="1" applyFont="1" applyFill="1" applyAlignment="1">
      <alignment horizontal="center"/>
    </xf>
    <xf numFmtId="174" fontId="1" fillId="0" borderId="0" xfId="1720" applyNumberFormat="1" applyFont="1" applyFill="1" applyAlignment="1">
      <alignment horizontal="center"/>
    </xf>
    <xf numFmtId="179" fontId="85" fillId="0" borderId="0" xfId="1" applyNumberFormat="1" applyFont="1" applyFill="1" applyAlignment="1">
      <alignment horizontal="center"/>
    </xf>
    <xf numFmtId="178" fontId="89" fillId="39" borderId="0" xfId="0" applyNumberFormat="1" applyFont="1" applyFill="1" applyAlignment="1">
      <alignment horizontal="center" shrinkToFit="1" readingOrder="1"/>
    </xf>
    <xf numFmtId="175" fontId="0" fillId="0" borderId="0" xfId="0" applyNumberFormat="1" applyFont="1" applyAlignment="1">
      <alignment horizontal="center"/>
    </xf>
    <xf numFmtId="174" fontId="1" fillId="0" borderId="0" xfId="1720" applyNumberFormat="1" applyFont="1" applyFill="1" applyBorder="1" applyAlignment="1">
      <alignment horizontal="center"/>
    </xf>
    <xf numFmtId="179" fontId="85" fillId="0" borderId="0" xfId="1" applyNumberFormat="1" applyFont="1" applyFill="1" applyBorder="1" applyAlignment="1">
      <alignment horizontal="center"/>
    </xf>
    <xf numFmtId="3" fontId="90" fillId="40" borderId="0" xfId="0" applyNumberFormat="1" applyFont="1" applyFill="1" applyAlignment="1">
      <alignment horizontal="center" vertical="center" readingOrder="1"/>
    </xf>
    <xf numFmtId="3" fontId="90" fillId="35" borderId="0" xfId="0" applyNumberFormat="1" applyFont="1" applyFill="1" applyAlignment="1">
      <alignment horizontal="center" vertical="center" readingOrder="1"/>
    </xf>
    <xf numFmtId="175" fontId="1" fillId="0" borderId="0" xfId="1720" applyNumberFormat="1" applyFont="1" applyFill="1" applyBorder="1" applyAlignment="1">
      <alignment horizontal="center"/>
    </xf>
    <xf numFmtId="175" fontId="85" fillId="0" borderId="0" xfId="1" applyNumberFormat="1" applyFont="1" applyFill="1" applyAlignment="1">
      <alignment horizontal="center"/>
    </xf>
    <xf numFmtId="172" fontId="1" fillId="0" borderId="0" xfId="1720" applyNumberFormat="1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179" fontId="0" fillId="0" borderId="0" xfId="0" applyNumberFormat="1" applyFont="1" applyFill="1" applyBorder="1" applyAlignment="1">
      <alignment horizontal="center"/>
    </xf>
    <xf numFmtId="179" fontId="0" fillId="41" borderId="0" xfId="0" applyNumberFormat="1" applyFont="1" applyFill="1" applyBorder="1" applyAlignment="1">
      <alignment horizontal="center"/>
    </xf>
    <xf numFmtId="180" fontId="0" fillId="0" borderId="0" xfId="3012" applyNumberFormat="1" applyFont="1" applyAlignment="1">
      <alignment horizontal="center"/>
    </xf>
    <xf numFmtId="0" fontId="0" fillId="0" borderId="0" xfId="0" applyFont="1" applyFill="1" applyAlignment="1">
      <alignment horizontal="center"/>
    </xf>
    <xf numFmtId="43" fontId="2" fillId="0" borderId="0" xfId="2519" applyFont="1"/>
    <xf numFmtId="43" fontId="2" fillId="0" borderId="0" xfId="0" applyNumberFormat="1" applyFont="1"/>
    <xf numFmtId="43" fontId="2" fillId="0" borderId="0" xfId="0" applyNumberFormat="1" applyFont="1" applyAlignment="1">
      <alignment horizontal="right"/>
    </xf>
    <xf numFmtId="164" fontId="77" fillId="0" borderId="0" xfId="1714" applyNumberFormat="1" applyBorder="1" applyAlignment="1">
      <alignment horizontal="right"/>
    </xf>
    <xf numFmtId="2" fontId="77" fillId="0" borderId="0" xfId="1714" applyNumberFormat="1" applyBorder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/>
    <xf numFmtId="164" fontId="2" fillId="0" borderId="0" xfId="0" applyNumberFormat="1" applyFont="1" applyFill="1"/>
    <xf numFmtId="164" fontId="2" fillId="0" borderId="0" xfId="1642" applyNumberFormat="1" applyFont="1" applyFill="1" applyBorder="1" applyAlignment="1">
      <alignment horizontal="center"/>
    </xf>
    <xf numFmtId="2" fontId="2" fillId="0" borderId="0" xfId="1642" applyNumberFormat="1" applyFont="1" applyFill="1" applyBorder="1"/>
    <xf numFmtId="3" fontId="2" fillId="0" borderId="0" xfId="2519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4" fontId="2" fillId="0" borderId="0" xfId="2519" applyNumberFormat="1" applyFont="1" applyFill="1" applyBorder="1" applyAlignment="1">
      <alignment horizontal="center"/>
    </xf>
    <xf numFmtId="0" fontId="0" fillId="0" borderId="0" xfId="0" applyFill="1"/>
    <xf numFmtId="2" fontId="2" fillId="0" borderId="0" xfId="0" applyNumberFormat="1" applyFont="1" applyFill="1"/>
    <xf numFmtId="173" fontId="85" fillId="0" borderId="0" xfId="1" applyNumberFormat="1" applyFont="1" applyFill="1" applyBorder="1" applyAlignment="1">
      <alignment horizontal="center" wrapText="1"/>
    </xf>
    <xf numFmtId="0" fontId="91" fillId="0" borderId="0" xfId="0" applyFont="1" applyFill="1" applyBorder="1"/>
    <xf numFmtId="4" fontId="91" fillId="0" borderId="0" xfId="0" applyNumberFormat="1" applyFont="1" applyFill="1" applyBorder="1"/>
    <xf numFmtId="2" fontId="77" fillId="0" borderId="0" xfId="1714" applyNumberFormat="1" applyFill="1" applyBorder="1" applyAlignment="1">
      <alignment horizontal="right"/>
    </xf>
    <xf numFmtId="180" fontId="91" fillId="0" borderId="0" xfId="3012" applyNumberFormat="1" applyFont="1" applyFill="1" applyBorder="1"/>
    <xf numFmtId="4" fontId="95" fillId="0" borderId="0" xfId="1714" applyNumberFormat="1" applyFont="1" applyFill="1" applyBorder="1" applyAlignment="1">
      <alignment horizontal="right"/>
    </xf>
    <xf numFmtId="4" fontId="95" fillId="0" borderId="0" xfId="1714" applyNumberFormat="1" applyFont="1" applyFill="1" applyBorder="1"/>
    <xf numFmtId="9" fontId="0" fillId="0" borderId="0" xfId="0" applyNumberFormat="1" applyFont="1" applyFill="1" applyAlignment="1">
      <alignment horizontal="center"/>
    </xf>
    <xf numFmtId="0" fontId="2" fillId="0" borderId="0" xfId="5" applyFont="1" applyFill="1" applyAlignment="1">
      <alignment horizontal="center"/>
    </xf>
  </cellXfs>
  <cellStyles count="3015">
    <cellStyle name="20% - Accent1" xfId="6" xr:uid="{1986ADB7-2C77-4FD3-8DBF-FEE5581C737B}"/>
    <cellStyle name="20% - Accent1 2" xfId="604" xr:uid="{3A897998-DDBD-4857-8525-6BF6B78D520F}"/>
    <cellStyle name="20% - Accent1 2 2" xfId="670" xr:uid="{8D038627-D82A-4440-BEB4-3D5111AD4C20}"/>
    <cellStyle name="20% - Accent2" xfId="7" xr:uid="{5ED9936E-E1D8-4309-99C9-7841ECAB81EA}"/>
    <cellStyle name="20% - Accent2 2" xfId="605" xr:uid="{F96E8DBD-4686-43B8-AA16-CDCF4B4ABBB2}"/>
    <cellStyle name="20% - Accent2 2 2" xfId="671" xr:uid="{90F59631-6D42-4877-83A7-1995B57EE2E1}"/>
    <cellStyle name="20% - Accent3" xfId="8" xr:uid="{A6B41E4C-D947-463F-B5A0-4AE63E1AB7EE}"/>
    <cellStyle name="20% - Accent3 2" xfId="606" xr:uid="{4FF4A927-8742-46EF-B93B-B71405460425}"/>
    <cellStyle name="20% - Accent3 2 2" xfId="672" xr:uid="{10C43FBF-55C3-4572-B395-812D31431C89}"/>
    <cellStyle name="20% - Accent4" xfId="9" xr:uid="{007D37E2-6B2C-44E5-9695-E305FDB1C520}"/>
    <cellStyle name="20% - Accent4 2" xfId="607" xr:uid="{34A36043-F1AC-48E5-B7D8-C069071A670E}"/>
    <cellStyle name="20% - Accent4 2 2" xfId="673" xr:uid="{BFFAFF1F-CE23-48AD-8B66-612C7D2F908C}"/>
    <cellStyle name="20% - Accent5" xfId="10" xr:uid="{467F8707-4817-431B-923A-10394CB7D351}"/>
    <cellStyle name="20% - Accent5 2" xfId="608" xr:uid="{19401045-B5A8-4D4E-93A6-B740A38BB9AD}"/>
    <cellStyle name="20% - Accent5 2 2" xfId="674" xr:uid="{9C248E1A-C928-4D30-9755-14C2BDC18E28}"/>
    <cellStyle name="20% - Accent6" xfId="11" xr:uid="{35D8B0F6-211A-4FA3-9AB1-E4165199F319}"/>
    <cellStyle name="20% - Accent6 2" xfId="609" xr:uid="{C3F7DC9C-308E-40ED-8A8C-AABBC4C05F36}"/>
    <cellStyle name="20% - Accent6 2 2" xfId="675" xr:uid="{9B32694F-27F4-4DAC-A6DA-C3F9E0C2B82E}"/>
    <cellStyle name="20% - הדגשה1 2" xfId="12" xr:uid="{AB1F7DF0-C900-4949-8542-6610A4AD88D2}"/>
    <cellStyle name="20% - הדגשה1 2 2" xfId="733" xr:uid="{D74E0D06-778A-414D-BAAB-7311FD456117}"/>
    <cellStyle name="20% - הדגשה1 3" xfId="732" xr:uid="{FC910EFD-AB13-4DDE-9A0E-8028E3FEFDA7}"/>
    <cellStyle name="20% - הדגשה2 2" xfId="13" xr:uid="{84DF93B8-E4B5-492A-B01A-D998C0A9EC6D}"/>
    <cellStyle name="20% - הדגשה2 2 2" xfId="735" xr:uid="{22769E44-B19A-454B-ACA9-A10E25C63AB1}"/>
    <cellStyle name="20% - הדגשה2 3" xfId="734" xr:uid="{B8A3B54A-5CB5-4233-A9A8-DCBF45670BEF}"/>
    <cellStyle name="20% - הדגשה3 2" xfId="14" xr:uid="{8354AB2E-F07D-4BA5-9CB0-35D52F692689}"/>
    <cellStyle name="20% - הדגשה3 2 2" xfId="737" xr:uid="{B88F4E53-CF7E-485D-8BE2-EB7B81A055D6}"/>
    <cellStyle name="20% - הדגשה3 3" xfId="736" xr:uid="{6A266314-0575-437C-9B8F-82E6AEF59B8F}"/>
    <cellStyle name="20% - הדגשה4 2" xfId="15" xr:uid="{ACC2423D-5FED-4CE9-841E-70DD675C9730}"/>
    <cellStyle name="20% - הדגשה4 2 2" xfId="739" xr:uid="{201A3BF3-63A0-4F35-9C81-43B058259304}"/>
    <cellStyle name="20% - הדגשה4 3" xfId="738" xr:uid="{7D62E7AB-81E9-4FF4-940A-843310BCF940}"/>
    <cellStyle name="20% - הדגשה5 2" xfId="16" xr:uid="{8D526E19-E6E3-4D26-AA93-A3B4469BA70A}"/>
    <cellStyle name="20% - הדגשה5 2 2" xfId="741" xr:uid="{48B8E3F8-528A-419F-A7BB-B1EE8C32067F}"/>
    <cellStyle name="20% - הדגשה5 3" xfId="740" xr:uid="{ABF3DC3F-A10D-49AF-AF42-4470F637C024}"/>
    <cellStyle name="20% - הדגשה6 2" xfId="17" xr:uid="{DCD30F65-9110-48ED-B159-23F6F80AD269}"/>
    <cellStyle name="20% - הדגשה6 2 2" xfId="743" xr:uid="{7C29D31F-3CF2-4C34-8EDF-81C365F8041B}"/>
    <cellStyle name="20% - הדגשה6 3" xfId="742" xr:uid="{C93B1253-C655-4B95-8739-ED10CF6A80DC}"/>
    <cellStyle name="40% - Accent1" xfId="18" xr:uid="{447464A6-6104-4AC2-AA6D-606A8EEAE13C}"/>
    <cellStyle name="40% - Accent1 2" xfId="610" xr:uid="{A225513C-27A9-4560-AD5C-ECE8B5E2BFBE}"/>
    <cellStyle name="40% - Accent1 2 2" xfId="676" xr:uid="{EFEB3FE4-AD95-4F21-9956-F066E3265C3E}"/>
    <cellStyle name="40% - Accent2" xfId="19" xr:uid="{8DD7680E-4D91-467E-A66D-6BC558BF038D}"/>
    <cellStyle name="40% - Accent2 2" xfId="611" xr:uid="{74BC9F61-5714-4B6E-973E-45F8A77D3FC8}"/>
    <cellStyle name="40% - Accent2 2 2" xfId="677" xr:uid="{27664DB9-416C-43D9-ABBA-10DD693D7FCF}"/>
    <cellStyle name="40% - Accent3" xfId="20" xr:uid="{F9D8E8CA-8C75-4B1E-AAC9-8A1DE1811F74}"/>
    <cellStyle name="40% - Accent3 2" xfId="612" xr:uid="{8D3581F2-C28B-4CE9-8075-9F09839EFDAF}"/>
    <cellStyle name="40% - Accent3 2 2" xfId="678" xr:uid="{2F9D75C4-F2CA-45EF-A5F1-1D5A9980B16C}"/>
    <cellStyle name="40% - Accent4" xfId="21" xr:uid="{A2FBC7DB-DD7E-463F-9CB6-74176E62F3D8}"/>
    <cellStyle name="40% - Accent4 2" xfId="613" xr:uid="{527A646A-326B-4C53-AB18-EFF55F38B6FF}"/>
    <cellStyle name="40% - Accent4 2 2" xfId="679" xr:uid="{FE852779-18B9-434B-A9AC-A70F19A5D82B}"/>
    <cellStyle name="40% - Accent5" xfId="22" xr:uid="{F6ED5D19-66A3-4097-8358-0A3021F0C92A}"/>
    <cellStyle name="40% - Accent5 2" xfId="614" xr:uid="{9AD0BB9F-9275-4BA1-B880-4073B0B0C94E}"/>
    <cellStyle name="40% - Accent5 2 2" xfId="680" xr:uid="{2A19A448-B1F1-4378-A1F7-0DC973D84E33}"/>
    <cellStyle name="40% - Accent6" xfId="23" xr:uid="{B7A04B12-06A0-4F37-ADF8-40FF1A095F4E}"/>
    <cellStyle name="40% - Accent6 2" xfId="615" xr:uid="{A9EAA8DE-1DA9-4246-805A-FE92EBA2452E}"/>
    <cellStyle name="40% - Accent6 2 2" xfId="681" xr:uid="{91C4EDD3-277B-4DDD-BED8-BDF70117EDB1}"/>
    <cellStyle name="40% - הדגשה1 2" xfId="24" xr:uid="{4770C97D-7E02-46C9-991E-E4D686BAF5EB}"/>
    <cellStyle name="40% - הדגשה1 2 2" xfId="745" xr:uid="{CDE10060-8492-4069-A2B0-C9DB60170CDD}"/>
    <cellStyle name="40% - הדגשה1 3" xfId="744" xr:uid="{F6547461-4246-4734-BFCB-63666555A661}"/>
    <cellStyle name="40% - הדגשה2 2" xfId="25" xr:uid="{CAEF4E7E-F7AF-425D-A887-D30935BD0834}"/>
    <cellStyle name="40% - הדגשה2 2 2" xfId="747" xr:uid="{407E8597-088F-4DF7-AA44-8609A95780A8}"/>
    <cellStyle name="40% - הדגשה2 3" xfId="746" xr:uid="{D234B416-FFB8-4957-9483-2615FAAEF36B}"/>
    <cellStyle name="40% - הדגשה3 2" xfId="26" xr:uid="{5C5F7A27-CCB6-4A0D-B4A0-D25ACDF3AC7E}"/>
    <cellStyle name="40% - הדגשה3 2 2" xfId="749" xr:uid="{A3E3B2F8-49F4-4FDA-9116-A267B59EE995}"/>
    <cellStyle name="40% - הדגשה3 3" xfId="748" xr:uid="{7A635CBC-F856-4023-B6DD-8BF20B13A1B4}"/>
    <cellStyle name="40% - הדגשה4 2" xfId="27" xr:uid="{41F8850B-1AAC-4CF0-85AE-9E5605972D3D}"/>
    <cellStyle name="40% - הדגשה4 2 2" xfId="751" xr:uid="{B0C7B12E-6BE4-4820-9143-5A8B8A23572B}"/>
    <cellStyle name="40% - הדגשה4 3" xfId="750" xr:uid="{BB6BC4EB-8F24-4F7C-A34D-F0C455F193CF}"/>
    <cellStyle name="40% - הדגשה5 2" xfId="28" xr:uid="{7E839BBE-BC81-4137-8688-777845BA54D0}"/>
    <cellStyle name="40% - הדגשה5 2 2" xfId="753" xr:uid="{5C52AD7D-86DF-41CC-95E7-0C2B82090F61}"/>
    <cellStyle name="40% - הדגשה5 3" xfId="752" xr:uid="{4B40A54A-7DB9-4091-9C47-6435C6983929}"/>
    <cellStyle name="40% - הדגשה6 2" xfId="29" xr:uid="{8BE55526-B337-467D-B247-D7A4E32DFE26}"/>
    <cellStyle name="40% - הדגשה6 2 2" xfId="755" xr:uid="{E0E1C89D-AB0A-4C97-93B7-EAC4592CD15F}"/>
    <cellStyle name="40% - הדגשה6 3" xfId="754" xr:uid="{8D2EBB78-5A39-41E2-9BC6-40AC01344DE3}"/>
    <cellStyle name="60% - Accent1" xfId="30" xr:uid="{F59ADC46-6D34-4777-99C5-0E5E927A0099}"/>
    <cellStyle name="60% - Accent1 2" xfId="616" xr:uid="{6DF19ABD-AAE2-4A83-B17B-469177F51C0B}"/>
    <cellStyle name="60% - Accent1 2 2" xfId="682" xr:uid="{69D2D371-5AC5-42B1-8C4E-05880F8908EC}"/>
    <cellStyle name="60% - Accent2" xfId="31" xr:uid="{17FCD2EE-CFF1-4B00-8FCD-0A1EA3179791}"/>
    <cellStyle name="60% - Accent2 2" xfId="617" xr:uid="{DA6DAF67-B284-48A1-9A76-04E33AC6D336}"/>
    <cellStyle name="60% - Accent2 2 2" xfId="683" xr:uid="{01C3C100-D998-48BF-BD83-F26F33203FD6}"/>
    <cellStyle name="60% - Accent3" xfId="32" xr:uid="{A23526A8-7441-4F53-88E2-EEB7D88CC7D7}"/>
    <cellStyle name="60% - Accent3 2" xfId="618" xr:uid="{875CF857-B328-4A42-8249-0BAC2D9F7AE9}"/>
    <cellStyle name="60% - Accent3 2 2" xfId="684" xr:uid="{3EF51AFB-7BC0-4D6B-A212-8BB05F5FD7F8}"/>
    <cellStyle name="60% - Accent4" xfId="33" xr:uid="{9925D810-9B7F-4239-BE1F-C2193B8D89EA}"/>
    <cellStyle name="60% - Accent4 2" xfId="619" xr:uid="{44E34A99-4B30-421F-8F73-AA8C37D55703}"/>
    <cellStyle name="60% - Accent4 2 2" xfId="685" xr:uid="{242ADC8F-AD5A-47FD-89F8-79BB7C779522}"/>
    <cellStyle name="60% - Accent5" xfId="34" xr:uid="{FDD50721-9EFA-4DD3-86D1-35B3435E61DA}"/>
    <cellStyle name="60% - Accent5 2" xfId="620" xr:uid="{656030C0-887D-431B-9B84-9A770DA8E2FF}"/>
    <cellStyle name="60% - Accent5 2 2" xfId="686" xr:uid="{E5E20813-113C-4A8F-B38A-82A2A81EE75A}"/>
    <cellStyle name="60% - Accent6" xfId="35" xr:uid="{10D2138A-2CD5-4873-A289-33B3DE931A73}"/>
    <cellStyle name="60% - Accent6 2" xfId="621" xr:uid="{F58ADF5C-CB6E-483A-9172-5048FE972CA3}"/>
    <cellStyle name="60% - Accent6 2 2" xfId="687" xr:uid="{88E775DD-2790-4046-9C06-A95D7BA09F25}"/>
    <cellStyle name="60% - הדגשה1 2" xfId="36" xr:uid="{B7926951-31D5-4F83-AB17-3D6F8AB92B42}"/>
    <cellStyle name="60% - הדגשה1 2 2" xfId="757" xr:uid="{32D1E781-3E13-44D1-A55B-D93F7FC18FFB}"/>
    <cellStyle name="60% - הדגשה1 3" xfId="756" xr:uid="{6D68D9D5-78AB-48F6-A902-1957267296CB}"/>
    <cellStyle name="60% - הדגשה2 2" xfId="37" xr:uid="{78388B72-8CE6-4390-AEB1-889EE7156B3C}"/>
    <cellStyle name="60% - הדגשה2 2 2" xfId="759" xr:uid="{D0D00C66-C59D-4FDD-AB67-8AE8F05CB903}"/>
    <cellStyle name="60% - הדגשה2 3" xfId="758" xr:uid="{B925EB62-F873-4421-B4D0-B7091479E1CC}"/>
    <cellStyle name="60% - הדגשה3 2" xfId="38" xr:uid="{E5F7D599-6820-4CC9-94C0-C88691CBCFB1}"/>
    <cellStyle name="60% - הדגשה3 2 2" xfId="761" xr:uid="{44B49F58-7A3B-4FE4-8E8C-0D009BEB8C2D}"/>
    <cellStyle name="60% - הדגשה3 3" xfId="760" xr:uid="{C945F01A-1381-4B43-B70A-DB242BF7EA45}"/>
    <cellStyle name="60% - הדגשה4 2" xfId="39" xr:uid="{6248C0E2-E567-4524-91CF-E515680B5387}"/>
    <cellStyle name="60% - הדגשה4 2 2" xfId="763" xr:uid="{585BA2B2-3D1C-4E3E-8E84-B4DEFF3F85A7}"/>
    <cellStyle name="60% - הדגשה4 3" xfId="762" xr:uid="{C21C28C6-3F9C-4DEA-A8C7-716CF312367F}"/>
    <cellStyle name="60% - הדגשה5 2" xfId="40" xr:uid="{A097602B-1B44-41A1-87ED-8EA866642ADE}"/>
    <cellStyle name="60% - הדגשה5 2 2" xfId="765" xr:uid="{15E8EF48-3D3E-4FB9-B2E2-76AFC9365782}"/>
    <cellStyle name="60% - הדגשה5 3" xfId="764" xr:uid="{164428EE-9485-48AA-98BC-F2674FEDAFAF}"/>
    <cellStyle name="60% - הדגשה6 2" xfId="41" xr:uid="{AB141669-FCD5-4A18-AA8F-41321F5B045E}"/>
    <cellStyle name="60% - הדגשה6 2 2" xfId="767" xr:uid="{72BA62F1-AFA1-40F7-A0A3-7FABE5AB66EE}"/>
    <cellStyle name="60% - הדגשה6 3" xfId="766" xr:uid="{2EE2528B-9913-4D9F-9F1E-6ABF3B46390C}"/>
    <cellStyle name="Accent1" xfId="42" xr:uid="{46512E92-7343-4DDD-A6B4-49437B875ECB}"/>
    <cellStyle name="Accent1 2" xfId="622" xr:uid="{0BC33E5E-AE7F-4A7C-AADD-3F3F81653ABA}"/>
    <cellStyle name="Accent1 2 2" xfId="688" xr:uid="{48575E63-1464-4CD2-960D-BFC702FABDD6}"/>
    <cellStyle name="Accent2" xfId="43" xr:uid="{709368A9-EAEF-48C2-9A2F-73D5C022B582}"/>
    <cellStyle name="Accent2 2" xfId="623" xr:uid="{A426940B-57EA-4229-8FEB-F9A34FC7D4B4}"/>
    <cellStyle name="Accent2 2 2" xfId="689" xr:uid="{35FD6C66-B0CA-4092-900D-91439ECDF86A}"/>
    <cellStyle name="Accent3" xfId="44" xr:uid="{7B4E8F70-C351-41EB-AB6A-1D4B0E0710D5}"/>
    <cellStyle name="Accent3 2" xfId="624" xr:uid="{671F49F7-B88B-44D5-8253-15E0DA89B922}"/>
    <cellStyle name="Accent3 2 2" xfId="690" xr:uid="{AC7708EA-0D2B-4206-A043-4FF8974334B0}"/>
    <cellStyle name="Accent4" xfId="45" xr:uid="{51C4A44F-487C-4DE1-8A27-8CF90CE5BD9B}"/>
    <cellStyle name="Accent4 2" xfId="625" xr:uid="{094B9057-0BEA-4597-B835-BDB55C606344}"/>
    <cellStyle name="Accent4 2 2" xfId="691" xr:uid="{C53E7925-C18B-44C2-9EFB-517C714DB0C0}"/>
    <cellStyle name="Accent5" xfId="46" xr:uid="{A7E746C9-F16B-446F-AD5C-E6045DB2DFB9}"/>
    <cellStyle name="Accent5 2" xfId="626" xr:uid="{06EDEBAD-2109-4001-8B8E-EAB17418C551}"/>
    <cellStyle name="Accent5 2 2" xfId="692" xr:uid="{9B4E5D18-5A75-4927-B4D1-1DECFBFFA543}"/>
    <cellStyle name="Accent6" xfId="47" xr:uid="{5FFDEDF3-7D2D-4B0E-A402-6FF72CFDCE4E}"/>
    <cellStyle name="Accent6 2" xfId="627" xr:uid="{723C51B5-2EF3-4FD9-89DE-410A59281126}"/>
    <cellStyle name="Accent6 2 2" xfId="693" xr:uid="{2FACA57C-772E-4CDB-86CA-329A2FC9FBCD}"/>
    <cellStyle name="Bad" xfId="48" xr:uid="{95D82032-A9DB-4A45-8445-14544B7368AD}"/>
    <cellStyle name="Bad 2" xfId="628" xr:uid="{E8AFECFE-8378-4726-AB99-AA7BE82ABC60}"/>
    <cellStyle name="Bad 2 2" xfId="694" xr:uid="{338E62F3-4F67-4C22-B601-5A4BEB6147CC}"/>
    <cellStyle name="BottomRowStyle" xfId="3007" xr:uid="{5C5A57D5-05F1-4778-A4C8-DC5C8C97A2E6}"/>
    <cellStyle name="Calculation" xfId="49" xr:uid="{3B34C311-444E-4779-8092-EA2585520CEF}"/>
    <cellStyle name="Calculation 2" xfId="629" xr:uid="{D76B7FED-0889-41FF-8694-B47A6BA05F8B}"/>
    <cellStyle name="Calculation 2 2" xfId="695" xr:uid="{C2D2C0FF-8AB3-4EEC-820C-758C63D97349}"/>
    <cellStyle name="Check Cell" xfId="50" xr:uid="{90F6C4C6-A771-47F4-8775-895EFE25F101}"/>
    <cellStyle name="Check Cell 2" xfId="630" xr:uid="{2E38B45E-5D84-42A8-AEC9-C022021F337E}"/>
    <cellStyle name="Check Cell 2 2" xfId="696" xr:uid="{C75757E5-916A-4E86-A379-E0D377C73A96}"/>
    <cellStyle name="colorStyleHigh" xfId="3009" xr:uid="{58371EBB-957D-4DE7-8D3B-220A4C5DFBD4}"/>
    <cellStyle name="colorStyleMedium" xfId="3008" xr:uid="{EB20731F-F37F-4D31-8B0C-34D56C056F2E}"/>
    <cellStyle name="Comma" xfId="1" builtinId="3"/>
    <cellStyle name="Comma 10" xfId="52" xr:uid="{6FA23E5E-C8DC-4FBA-AA6E-3093B24DB4CE}"/>
    <cellStyle name="Comma 10 2" xfId="53" xr:uid="{6DCCEE69-1F7E-4689-B2B1-4A5B409A7441}"/>
    <cellStyle name="Comma 10 2 2" xfId="54" xr:uid="{839BC13D-31D8-4AAF-802E-8103C43FCA91}"/>
    <cellStyle name="Comma 10 2 2 2" xfId="55" xr:uid="{2D9C4668-79EB-4738-B130-7B32616D8660}"/>
    <cellStyle name="Comma 10 2 2 2 2" xfId="829" xr:uid="{22BD2BFA-5BCC-4904-8FC5-D4647AFEB541}"/>
    <cellStyle name="Comma 10 2 2 2 2 2" xfId="2427" xr:uid="{BD6102B2-2634-484F-8D23-04CAA70CC95B}"/>
    <cellStyle name="Comma 10 2 2 2 3" xfId="1019" xr:uid="{36A2BA68-E754-4595-AEA0-48352A077C3C}"/>
    <cellStyle name="Comma 10 2 2 2 3 2" xfId="2617" xr:uid="{14DB6073-9365-41BF-A24D-D529BDA9E33D}"/>
    <cellStyle name="Comma 10 2 2 2 4" xfId="1210" xr:uid="{AFB76E60-B66B-43F4-B646-0084C8BB8ACC}"/>
    <cellStyle name="Comma 10 2 2 2 4 2" xfId="2807" xr:uid="{BC75623B-3D49-4DC0-9BC3-6D206ED2C4C1}"/>
    <cellStyle name="Comma 10 2 2 2 5" xfId="1918" xr:uid="{223C42E0-CEAE-40ED-9FF3-057439AD5B9C}"/>
    <cellStyle name="Comma 10 2 2 2 6" xfId="1727" xr:uid="{B334048A-D907-4809-8A1B-68310577F771}"/>
    <cellStyle name="Comma 10 2 2 3" xfId="828" xr:uid="{8974D1CB-CFF5-4709-B292-BA355BEE70FD}"/>
    <cellStyle name="Comma 10 2 2 3 2" xfId="2426" xr:uid="{7BDDBBBC-C8A5-4716-96D8-B612BF7A4AEF}"/>
    <cellStyle name="Comma 10 2 2 4" xfId="1018" xr:uid="{491EE215-967B-4EA9-84B8-D93B4FF2BEE6}"/>
    <cellStyle name="Comma 10 2 2 4 2" xfId="2616" xr:uid="{50445587-6B41-4C56-A64D-876229284A83}"/>
    <cellStyle name="Comma 10 2 2 5" xfId="1209" xr:uid="{06880458-54C8-4AF8-A838-FC3A28D4637F}"/>
    <cellStyle name="Comma 10 2 2 5 2" xfId="2806" xr:uid="{24BBEE70-6C34-41CA-B32B-1C385BAD6675}"/>
    <cellStyle name="Comma 10 2 2 6" xfId="1917" xr:uid="{BC605BE1-43C9-4CDF-9047-0F3EC1EF4120}"/>
    <cellStyle name="Comma 10 2 2 7" xfId="1726" xr:uid="{C8A78589-47D1-4D66-8169-28AB6BB221E9}"/>
    <cellStyle name="Comma 10 2 3" xfId="56" xr:uid="{25EEFA03-F42E-42A1-B007-ED05B26AF98D}"/>
    <cellStyle name="Comma 10 2 3 2" xfId="830" xr:uid="{17EAFE20-A826-4596-AAB6-23FA50E5055D}"/>
    <cellStyle name="Comma 10 2 3 2 2" xfId="2428" xr:uid="{C8DCC2AD-7D06-4CE4-BCB4-DFA929D18B27}"/>
    <cellStyle name="Comma 10 2 3 3" xfId="1020" xr:uid="{6F4BA7C1-0C62-4647-96E1-77CD6B96A36B}"/>
    <cellStyle name="Comma 10 2 3 3 2" xfId="2618" xr:uid="{2DF862D2-1FB7-40C5-A108-D81A1C8CBC4C}"/>
    <cellStyle name="Comma 10 2 3 4" xfId="1211" xr:uid="{7E619964-A84B-41D1-A38D-58F9AD538901}"/>
    <cellStyle name="Comma 10 2 3 4 2" xfId="2808" xr:uid="{1853EC60-2123-4324-841F-435FA80B20A6}"/>
    <cellStyle name="Comma 10 2 3 5" xfId="1919" xr:uid="{C6BB1B62-9C04-4FCE-B4A2-A6563AD79DB5}"/>
    <cellStyle name="Comma 10 2 3 6" xfId="1728" xr:uid="{4C09AA0B-4523-4B49-B096-D939FFF3D017}"/>
    <cellStyle name="Comma 10 2 4" xfId="827" xr:uid="{6AE511AB-E1DD-4728-8C52-37033D4A381D}"/>
    <cellStyle name="Comma 10 2 4 2" xfId="2425" xr:uid="{8B21D570-E093-499F-8306-99AE805A89E1}"/>
    <cellStyle name="Comma 10 2 5" xfId="1017" xr:uid="{D669393E-985C-4B38-9A7E-C220005A2A63}"/>
    <cellStyle name="Comma 10 2 5 2" xfId="2615" xr:uid="{93574E82-4BA4-4F7C-9312-67FFA7CF5811}"/>
    <cellStyle name="Comma 10 2 6" xfId="1208" xr:uid="{CC4328A7-D5D2-46F4-92A0-67DD1613D1BF}"/>
    <cellStyle name="Comma 10 2 6 2" xfId="2805" xr:uid="{92FDFEA3-6902-401F-8BF4-BD7AA3073A25}"/>
    <cellStyle name="Comma 10 2 7" xfId="1916" xr:uid="{8EFFC989-8771-4BCF-B1E0-ED88AE3DE9D8}"/>
    <cellStyle name="Comma 10 2 8" xfId="1725" xr:uid="{A54266C5-A080-44D9-A360-8FFE93BAD238}"/>
    <cellStyle name="Comma 10 3" xfId="57" xr:uid="{4C132295-6F54-474E-B896-70D38A410F8D}"/>
    <cellStyle name="Comma 10 3 2" xfId="58" xr:uid="{1B58252A-7143-4F8D-BC93-F3456548721A}"/>
    <cellStyle name="Comma 10 3 2 2" xfId="832" xr:uid="{AC321A9C-A40E-4256-951C-C83DFFBC4186}"/>
    <cellStyle name="Comma 10 3 2 2 2" xfId="2430" xr:uid="{3388C07F-DB77-4841-A0A2-1E698E72092B}"/>
    <cellStyle name="Comma 10 3 2 3" xfId="1022" xr:uid="{CBB954EC-BC35-4218-A84B-C2522A121A47}"/>
    <cellStyle name="Comma 10 3 2 3 2" xfId="2620" xr:uid="{1905E124-84DE-4BD4-A574-B932D6832242}"/>
    <cellStyle name="Comma 10 3 2 4" xfId="1213" xr:uid="{8A8640CB-D450-4875-A97C-2AB478BAA3B1}"/>
    <cellStyle name="Comma 10 3 2 4 2" xfId="2810" xr:uid="{CB3248A3-10FC-46BB-90C5-9082B5AB1B25}"/>
    <cellStyle name="Comma 10 3 2 5" xfId="1921" xr:uid="{DBCB9112-75D9-4E71-99C9-CC2DE2E27147}"/>
    <cellStyle name="Comma 10 3 2 6" xfId="1730" xr:uid="{0DB29949-31AE-4D51-8E94-DC4BA905FDE0}"/>
    <cellStyle name="Comma 10 3 3" xfId="831" xr:uid="{AA95F3CB-25C9-4748-ACE3-F224AC586FB9}"/>
    <cellStyle name="Comma 10 3 3 2" xfId="2429" xr:uid="{E000E4AB-369B-43B4-8727-A4802F75A56A}"/>
    <cellStyle name="Comma 10 3 4" xfId="1021" xr:uid="{572C2A1B-BE33-46F5-8B81-5BBA135D6C45}"/>
    <cellStyle name="Comma 10 3 4 2" xfId="2619" xr:uid="{D0A0E8F6-5B8B-4738-9AF8-7BFFDFD6603B}"/>
    <cellStyle name="Comma 10 3 5" xfId="1212" xr:uid="{E0F5CEB5-EA49-4BEA-8B45-360E4B3BCC31}"/>
    <cellStyle name="Comma 10 3 5 2" xfId="2809" xr:uid="{DBD080D9-80F6-42A5-B6A7-75D092204507}"/>
    <cellStyle name="Comma 10 3 6" xfId="1920" xr:uid="{41096D5B-5F81-42E5-A1E3-1599BD816105}"/>
    <cellStyle name="Comma 10 3 7" xfId="1729" xr:uid="{BDD7A426-9C08-4165-96E3-3D7DABCD6287}"/>
    <cellStyle name="Comma 10 4" xfId="59" xr:uid="{4DC48151-918B-45DE-BB0B-9BA8F151E7BC}"/>
    <cellStyle name="Comma 10 4 2" xfId="833" xr:uid="{EEDD716C-0F56-4FF1-93A4-E0EB9F7D5BE2}"/>
    <cellStyle name="Comma 10 4 2 2" xfId="2431" xr:uid="{95EDB284-14D6-4535-A51C-A3DF777046E7}"/>
    <cellStyle name="Comma 10 4 3" xfId="1023" xr:uid="{193C9FAC-33AB-44AB-A856-231AFBD53B1C}"/>
    <cellStyle name="Comma 10 4 3 2" xfId="2621" xr:uid="{DD2FADFB-7FAD-4BC5-ADFD-2BA4E5C2BE44}"/>
    <cellStyle name="Comma 10 4 4" xfId="1214" xr:uid="{29F578E2-5B88-4DB2-939B-A48584CA2203}"/>
    <cellStyle name="Comma 10 4 4 2" xfId="2811" xr:uid="{6F76EA57-81C1-4E38-BE82-1BBD00DA7EAC}"/>
    <cellStyle name="Comma 10 4 5" xfId="1922" xr:uid="{E791264C-13B6-425D-8772-57729A66CBB9}"/>
    <cellStyle name="Comma 10 4 6" xfId="1731" xr:uid="{9D66DB23-8FD2-45D2-BAB2-6CFAAB21969A}"/>
    <cellStyle name="Comma 10 5" xfId="826" xr:uid="{07DD1261-4B55-4D89-A82D-1F75FFB171B1}"/>
    <cellStyle name="Comma 10 5 2" xfId="2424" xr:uid="{9A72BCBD-0FA4-4895-89AD-AF161608B56A}"/>
    <cellStyle name="Comma 10 6" xfId="1016" xr:uid="{40706ACE-4EFF-4CB8-9FAC-09AE1CF361E9}"/>
    <cellStyle name="Comma 10 6 2" xfId="2614" xr:uid="{F379459A-48CE-44CE-8CCF-F60FA5A3E09C}"/>
    <cellStyle name="Comma 10 7" xfId="1207" xr:uid="{030397C1-CAA6-4773-81E3-425857C86EAD}"/>
    <cellStyle name="Comma 10 7 2" xfId="2804" xr:uid="{CB4267EC-50FD-465B-AE2B-CEF721FD2CE4}"/>
    <cellStyle name="Comma 10 8" xfId="1915" xr:uid="{A82D2321-15D2-4370-8AE0-0E28EA697B6A}"/>
    <cellStyle name="Comma 10 9" xfId="1724" xr:uid="{C029D9DD-DB7A-4FA7-AE92-AB24B293680B}"/>
    <cellStyle name="Comma 11" xfId="60" xr:uid="{53C99B41-3FDE-4638-977D-EC2B86758BE4}"/>
    <cellStyle name="Comma 11 2" xfId="61" xr:uid="{184E2EF1-7622-497B-A306-ADE977937A4E}"/>
    <cellStyle name="Comma 11 2 2" xfId="62" xr:uid="{3168F432-80B1-4400-96D8-79EC5EE9A44E}"/>
    <cellStyle name="Comma 11 2 2 2" xfId="63" xr:uid="{41514F37-6370-425B-8C0E-FEC857EB42BD}"/>
    <cellStyle name="Comma 11 2 2 2 2" xfId="837" xr:uid="{3EBBA4EA-24DD-4DF2-92DC-96622DFA6149}"/>
    <cellStyle name="Comma 11 2 2 2 2 2" xfId="2435" xr:uid="{290906F2-BDE2-489A-8CD7-B2CFA4125EB2}"/>
    <cellStyle name="Comma 11 2 2 2 3" xfId="1027" xr:uid="{1E012F77-685C-4596-B384-D846F2CFBB1D}"/>
    <cellStyle name="Comma 11 2 2 2 3 2" xfId="2625" xr:uid="{30B7C550-C855-480F-B73B-CE993743A604}"/>
    <cellStyle name="Comma 11 2 2 2 4" xfId="1218" xr:uid="{CA497C11-2414-455F-9CF5-2C203C315525}"/>
    <cellStyle name="Comma 11 2 2 2 4 2" xfId="2815" xr:uid="{90D7094C-8EEA-4DC7-82FA-5292D8EED36A}"/>
    <cellStyle name="Comma 11 2 2 2 5" xfId="1926" xr:uid="{682AC792-1D77-4A59-8B8D-06C65B397BC2}"/>
    <cellStyle name="Comma 11 2 2 2 6" xfId="1735" xr:uid="{C3FF4618-C4B8-4007-927F-DAD827AB0F54}"/>
    <cellStyle name="Comma 11 2 2 3" xfId="836" xr:uid="{D861364B-64E1-45D5-8754-6B969478B852}"/>
    <cellStyle name="Comma 11 2 2 3 2" xfId="2434" xr:uid="{0ABA6C4C-E3FF-45A9-8D40-1D42BB541FC7}"/>
    <cellStyle name="Comma 11 2 2 4" xfId="1026" xr:uid="{40704A0C-67E2-4832-9A03-DFF2E92E70AF}"/>
    <cellStyle name="Comma 11 2 2 4 2" xfId="2624" xr:uid="{C331072A-0C0D-446C-99EF-6CD4DF7C12E8}"/>
    <cellStyle name="Comma 11 2 2 5" xfId="1217" xr:uid="{F6255C0E-4723-48E3-BD1F-1CE83118EC6F}"/>
    <cellStyle name="Comma 11 2 2 5 2" xfId="2814" xr:uid="{BCA54767-8928-458E-A666-13CD8B9B3A8E}"/>
    <cellStyle name="Comma 11 2 2 6" xfId="1925" xr:uid="{B35B9E11-F7A0-455A-A170-D4C3B50A1EBA}"/>
    <cellStyle name="Comma 11 2 2 7" xfId="1734" xr:uid="{0CD4EF1D-14D9-48FB-99D1-9041D94A89B8}"/>
    <cellStyle name="Comma 11 2 3" xfId="64" xr:uid="{C9B20A1F-74FD-4306-B5AE-0DDCF5C43272}"/>
    <cellStyle name="Comma 11 2 3 2" xfId="838" xr:uid="{82589D60-DECB-488C-A6C1-6707DDCB3FE1}"/>
    <cellStyle name="Comma 11 2 3 2 2" xfId="2436" xr:uid="{2BEEF23C-797C-45CD-A27F-C420FC36C560}"/>
    <cellStyle name="Comma 11 2 3 3" xfId="1028" xr:uid="{D3824FE7-87FC-43EF-BECB-847DEEFDB537}"/>
    <cellStyle name="Comma 11 2 3 3 2" xfId="2626" xr:uid="{31EB5E31-2E2F-4163-9A2C-2FE35660E630}"/>
    <cellStyle name="Comma 11 2 3 4" xfId="1219" xr:uid="{85B5AEA2-1D74-44AE-AA98-79FC657892DB}"/>
    <cellStyle name="Comma 11 2 3 4 2" xfId="2816" xr:uid="{25C747D9-667A-4715-A52C-2F3568BADF99}"/>
    <cellStyle name="Comma 11 2 3 5" xfId="1927" xr:uid="{1E8852E6-A42D-49EF-9163-30761B4B29B2}"/>
    <cellStyle name="Comma 11 2 3 6" xfId="1736" xr:uid="{CB269792-EB5B-4B85-B7A2-993D2682A9F4}"/>
    <cellStyle name="Comma 11 2 4" xfId="835" xr:uid="{EE633F44-6BA2-46E9-BB51-BCE0399FCD93}"/>
    <cellStyle name="Comma 11 2 4 2" xfId="2433" xr:uid="{F32D45B7-05D4-4883-A4FA-60CB8D8022A3}"/>
    <cellStyle name="Comma 11 2 5" xfId="1025" xr:uid="{D9834638-1867-4EA0-86B5-AB837944F6C9}"/>
    <cellStyle name="Comma 11 2 5 2" xfId="2623" xr:uid="{6C59EE4D-4E1B-4CFB-B7F0-0593996FB3FA}"/>
    <cellStyle name="Comma 11 2 6" xfId="1216" xr:uid="{D0AE238C-6CE2-4808-B508-F78F081554B0}"/>
    <cellStyle name="Comma 11 2 6 2" xfId="2813" xr:uid="{D5402036-A81C-473F-83FF-886355EAA94E}"/>
    <cellStyle name="Comma 11 2 7" xfId="1924" xr:uid="{52EC58B9-5EB3-480A-98FC-E2B24AE0FCF6}"/>
    <cellStyle name="Comma 11 2 8" xfId="1733" xr:uid="{06D70DA4-05F4-44AD-AA96-535FD557952C}"/>
    <cellStyle name="Comma 11 3" xfId="65" xr:uid="{E29489E6-DEF7-4822-AA01-7A878D1B021B}"/>
    <cellStyle name="Comma 11 3 2" xfId="66" xr:uid="{E32E55EC-4439-4D17-9314-982A4F2E074E}"/>
    <cellStyle name="Comma 11 3 2 2" xfId="840" xr:uid="{0FB121E3-7620-49D2-B24C-E136C901FE0A}"/>
    <cellStyle name="Comma 11 3 2 2 2" xfId="2438" xr:uid="{1D8F2618-0FCE-45DA-AB8E-8F6081CED26E}"/>
    <cellStyle name="Comma 11 3 2 3" xfId="1030" xr:uid="{D22C3954-5001-4B8C-AFC4-9C875EE54A6D}"/>
    <cellStyle name="Comma 11 3 2 3 2" xfId="2628" xr:uid="{11BBEF55-F5B2-47D2-8417-527E085ADA3F}"/>
    <cellStyle name="Comma 11 3 2 4" xfId="1221" xr:uid="{A5F621B1-41E7-4401-A767-58FEB0AC4041}"/>
    <cellStyle name="Comma 11 3 2 4 2" xfId="2818" xr:uid="{CB16A937-EF2E-4A53-9766-5A96CB9E06C9}"/>
    <cellStyle name="Comma 11 3 2 5" xfId="1929" xr:uid="{60766B52-9945-428A-8F99-1EBCF89175AF}"/>
    <cellStyle name="Comma 11 3 2 6" xfId="1738" xr:uid="{2E11B9F6-86FA-4326-AD11-26EE334D221A}"/>
    <cellStyle name="Comma 11 3 3" xfId="839" xr:uid="{1B646B1F-8CF5-47B7-9336-58F49D8FE7B0}"/>
    <cellStyle name="Comma 11 3 3 2" xfId="2437" xr:uid="{89876D76-EC59-4721-A7E4-4F2BB4705C17}"/>
    <cellStyle name="Comma 11 3 4" xfId="1029" xr:uid="{7F574989-B2FE-47A9-93B6-ECFAC8A82C2A}"/>
    <cellStyle name="Comma 11 3 4 2" xfId="2627" xr:uid="{5202A842-24AF-4369-B0FE-21DF62DA5972}"/>
    <cellStyle name="Comma 11 3 5" xfId="1220" xr:uid="{6910D73D-B583-4B42-840C-67FC4F2BE4A0}"/>
    <cellStyle name="Comma 11 3 5 2" xfId="2817" xr:uid="{DBD7BAA4-D642-41DC-9C5C-C67E94D702C3}"/>
    <cellStyle name="Comma 11 3 6" xfId="1928" xr:uid="{8A93C153-7C52-4071-96A4-CC43CBDD3F93}"/>
    <cellStyle name="Comma 11 3 7" xfId="1737" xr:uid="{5524D35E-7ABF-4682-AC74-00C29D5C34EA}"/>
    <cellStyle name="Comma 11 4" xfId="67" xr:uid="{112625BD-495E-44C7-84AA-696330865AE0}"/>
    <cellStyle name="Comma 11 4 2" xfId="841" xr:uid="{9B2673A8-C538-44FB-9B55-D0E6065766E5}"/>
    <cellStyle name="Comma 11 4 2 2" xfId="2439" xr:uid="{2897000C-1986-4047-AAE2-35BFCE814B9A}"/>
    <cellStyle name="Comma 11 4 3" xfId="1031" xr:uid="{6C947523-A7F5-4A51-9688-9F18CA359A7B}"/>
    <cellStyle name="Comma 11 4 3 2" xfId="2629" xr:uid="{886D8C8E-DE27-4B24-91BC-188244269A95}"/>
    <cellStyle name="Comma 11 4 4" xfId="1222" xr:uid="{EAF4C9D0-9089-4E48-B778-097B54D1FE29}"/>
    <cellStyle name="Comma 11 4 4 2" xfId="2819" xr:uid="{7B9077C5-7E69-41A4-8D76-3D3E76BBFC2E}"/>
    <cellStyle name="Comma 11 4 5" xfId="1930" xr:uid="{8FEC38B9-AE3E-4F18-9EF8-2BCBB3B86305}"/>
    <cellStyle name="Comma 11 4 6" xfId="1739" xr:uid="{582E029C-D75A-4C11-A587-38CC950D17FF}"/>
    <cellStyle name="Comma 11 5" xfId="834" xr:uid="{6E992F43-9E59-4D72-91D3-97045DBF0018}"/>
    <cellStyle name="Comma 11 5 2" xfId="2432" xr:uid="{9A0DF170-23BD-4554-9A0F-EB5CEC960D8E}"/>
    <cellStyle name="Comma 11 6" xfId="1024" xr:uid="{15025206-97FC-434D-BB44-89DE12634AFE}"/>
    <cellStyle name="Comma 11 6 2" xfId="2622" xr:uid="{2DB8CC9E-3F26-418C-8C1D-3B6061463A27}"/>
    <cellStyle name="Comma 11 7" xfId="1215" xr:uid="{FF82EEE1-7F51-4C39-86EA-CD688D8F05D7}"/>
    <cellStyle name="Comma 11 7 2" xfId="2812" xr:uid="{D02EC46B-4E2C-4424-9607-1F7C4A71D682}"/>
    <cellStyle name="Comma 11 8" xfId="1923" xr:uid="{884D901E-1FE7-4679-8EEB-86B71B7089F3}"/>
    <cellStyle name="Comma 11 9" xfId="1732" xr:uid="{1FD50693-746E-451F-BB6F-90F10C626CEA}"/>
    <cellStyle name="Comma 12" xfId="68" xr:uid="{DE79E8C0-6B57-4CEE-9194-A43F7A0BC64A}"/>
    <cellStyle name="Comma 12 2" xfId="69" xr:uid="{CFF74B59-0A12-42CF-895E-87DFC5E28336}"/>
    <cellStyle name="Comma 12 2 2" xfId="70" xr:uid="{30361448-77DF-4187-979A-3A581DE2852B}"/>
    <cellStyle name="Comma 12 2 2 2" xfId="71" xr:uid="{C39DB4FB-D444-4BB6-9D8E-D0409A74F887}"/>
    <cellStyle name="Comma 12 2 2 2 2" xfId="845" xr:uid="{53BF670E-47D1-4A85-B166-081368DA8F8D}"/>
    <cellStyle name="Comma 12 2 2 2 2 2" xfId="2443" xr:uid="{0C2DEE85-F46B-4B52-968A-D983394AAEB6}"/>
    <cellStyle name="Comma 12 2 2 2 3" xfId="1035" xr:uid="{B46A6D1A-01A6-403E-AE35-E8A8BA982B1B}"/>
    <cellStyle name="Comma 12 2 2 2 3 2" xfId="2633" xr:uid="{5DD6E2B5-E3D8-475F-8D8D-A190F7C0EFD5}"/>
    <cellStyle name="Comma 12 2 2 2 4" xfId="1226" xr:uid="{ED1D567F-7F39-45DD-A072-8CC08DC454A3}"/>
    <cellStyle name="Comma 12 2 2 2 4 2" xfId="2823" xr:uid="{26FCA53B-1FA8-4DDD-98D5-4CB1AF0AA073}"/>
    <cellStyle name="Comma 12 2 2 2 5" xfId="1934" xr:uid="{D3DD8C7F-98C4-477F-9EAA-5E345EF943CE}"/>
    <cellStyle name="Comma 12 2 2 2 6" xfId="1743" xr:uid="{89D74077-844D-4791-8960-01C377E67B07}"/>
    <cellStyle name="Comma 12 2 2 3" xfId="844" xr:uid="{8ABD7AE3-2423-43B5-81A6-26FABD76A997}"/>
    <cellStyle name="Comma 12 2 2 3 2" xfId="2442" xr:uid="{260FDF45-E199-4EA8-AE3D-0756130E99A6}"/>
    <cellStyle name="Comma 12 2 2 4" xfId="1034" xr:uid="{AB498A07-6183-4993-9142-C773158A525F}"/>
    <cellStyle name="Comma 12 2 2 4 2" xfId="2632" xr:uid="{0F879D9E-73DE-434E-B2B2-72B4A6ED90A1}"/>
    <cellStyle name="Comma 12 2 2 5" xfId="1225" xr:uid="{45CCA90B-B676-4422-AD62-0D87F70CB006}"/>
    <cellStyle name="Comma 12 2 2 5 2" xfId="2822" xr:uid="{2CD6E393-7667-469F-BFD0-D3B119242312}"/>
    <cellStyle name="Comma 12 2 2 6" xfId="1933" xr:uid="{9743BADA-C680-4531-A2B8-60DD01F0E5F8}"/>
    <cellStyle name="Comma 12 2 2 7" xfId="1742" xr:uid="{FAACBE5C-4580-4451-9D8C-315CEF738B21}"/>
    <cellStyle name="Comma 12 2 3" xfId="72" xr:uid="{7630D2D7-DC93-4379-9012-C51755380B17}"/>
    <cellStyle name="Comma 12 2 3 2" xfId="846" xr:uid="{7B27F429-834C-43F7-B1FF-BC8456DCD68A}"/>
    <cellStyle name="Comma 12 2 3 2 2" xfId="2444" xr:uid="{C2A271E2-91EB-49CB-AC76-3A1D83F68DC6}"/>
    <cellStyle name="Comma 12 2 3 3" xfId="1036" xr:uid="{80C97B16-FEC6-4B0F-9F34-F779A404D505}"/>
    <cellStyle name="Comma 12 2 3 3 2" xfId="2634" xr:uid="{F682D5E9-1024-4E36-99DB-439B4AFB0ADD}"/>
    <cellStyle name="Comma 12 2 3 4" xfId="1227" xr:uid="{3F286911-2852-4989-9F7D-6109BC7D473D}"/>
    <cellStyle name="Comma 12 2 3 4 2" xfId="2824" xr:uid="{7E28140B-2645-494B-BA98-B93BEB08EE0D}"/>
    <cellStyle name="Comma 12 2 3 5" xfId="1935" xr:uid="{E52168C7-77F9-4FC5-8C20-A170AAA94761}"/>
    <cellStyle name="Comma 12 2 3 6" xfId="1744" xr:uid="{32301985-B17D-48E2-A24C-6621B3DE7451}"/>
    <cellStyle name="Comma 12 2 4" xfId="843" xr:uid="{E3E319B8-6178-432E-8401-056173B6F958}"/>
    <cellStyle name="Comma 12 2 4 2" xfId="2441" xr:uid="{B513E7AF-0E68-4733-9E6C-CBDA372B4D68}"/>
    <cellStyle name="Comma 12 2 5" xfId="1033" xr:uid="{DD285FA8-1E0B-46C1-9F0F-FD6FE506655C}"/>
    <cellStyle name="Comma 12 2 5 2" xfId="2631" xr:uid="{CD622FC5-AA75-4277-8A1A-62F133F14D3B}"/>
    <cellStyle name="Comma 12 2 6" xfId="1224" xr:uid="{8B1B2704-3BC5-48B8-B1C0-DF2E12D2FF4D}"/>
    <cellStyle name="Comma 12 2 6 2" xfId="2821" xr:uid="{A9210B72-A958-43DA-A0D8-A40D36B63754}"/>
    <cellStyle name="Comma 12 2 7" xfId="1932" xr:uid="{0299E742-FD46-4B8C-825E-B4429C725986}"/>
    <cellStyle name="Comma 12 2 8" xfId="1741" xr:uid="{4593C6B5-60DB-4855-B2EE-EB2C75F935C0}"/>
    <cellStyle name="Comma 12 3" xfId="73" xr:uid="{7D1FB767-9098-4E2A-B59D-F1EF56183E31}"/>
    <cellStyle name="Comma 12 3 2" xfId="74" xr:uid="{B6AC04F9-56D7-4251-82AD-6FDDBC30E4FE}"/>
    <cellStyle name="Comma 12 3 2 2" xfId="848" xr:uid="{1CE26B26-AEFA-48C0-87D9-EABECCE8E934}"/>
    <cellStyle name="Comma 12 3 2 2 2" xfId="2446" xr:uid="{E723E705-AE7D-41D7-87C0-7D20397A3A5B}"/>
    <cellStyle name="Comma 12 3 2 3" xfId="1038" xr:uid="{43EDC8CC-50A8-4C78-A5CE-738044981047}"/>
    <cellStyle name="Comma 12 3 2 3 2" xfId="2636" xr:uid="{7AF63D5F-2E92-4A5F-A88B-6BB0D6029912}"/>
    <cellStyle name="Comma 12 3 2 4" xfId="1229" xr:uid="{0FCFDF23-0262-4504-81AB-795D29BC981C}"/>
    <cellStyle name="Comma 12 3 2 4 2" xfId="2826" xr:uid="{EA718E3B-D459-4A58-948D-2F4F0F2640AA}"/>
    <cellStyle name="Comma 12 3 2 5" xfId="1937" xr:uid="{F158592D-E599-49D9-AB4E-D03572558BF4}"/>
    <cellStyle name="Comma 12 3 2 6" xfId="1746" xr:uid="{39FAA2FA-2B66-4AE5-BD43-82C3572AA93C}"/>
    <cellStyle name="Comma 12 3 3" xfId="847" xr:uid="{7857C0CB-5F6E-4A38-BD80-155BEE37A81D}"/>
    <cellStyle name="Comma 12 3 3 2" xfId="2445" xr:uid="{F1F47977-64E8-412A-B2FD-831EC86F54B8}"/>
    <cellStyle name="Comma 12 3 4" xfId="1037" xr:uid="{37F48047-6A54-4427-AB37-EDC5EBF2A9F5}"/>
    <cellStyle name="Comma 12 3 4 2" xfId="2635" xr:uid="{3BF6A44B-61B5-4861-824F-93D8314355D2}"/>
    <cellStyle name="Comma 12 3 5" xfId="1228" xr:uid="{7F73222F-1536-4E16-ABD3-A5EF5D5FD65D}"/>
    <cellStyle name="Comma 12 3 5 2" xfId="2825" xr:uid="{33B80373-3B13-432A-802C-04BE410C83F7}"/>
    <cellStyle name="Comma 12 3 6" xfId="1936" xr:uid="{A85D0D75-6ABD-44B1-9B54-588E8846FB00}"/>
    <cellStyle name="Comma 12 3 7" xfId="1745" xr:uid="{6D74F969-D8F4-4A17-A438-9522B53943B0}"/>
    <cellStyle name="Comma 12 4" xfId="75" xr:uid="{1A78844B-506D-4C75-9139-CEED92421D38}"/>
    <cellStyle name="Comma 12 4 2" xfId="849" xr:uid="{D8C28A0F-581A-45AC-9820-3232A6759DB0}"/>
    <cellStyle name="Comma 12 4 2 2" xfId="2447" xr:uid="{934C2252-6B70-4EE8-B93C-BE1438EF476F}"/>
    <cellStyle name="Comma 12 4 3" xfId="1039" xr:uid="{82E661D6-8D85-4C3A-AC6B-A3C3900A5860}"/>
    <cellStyle name="Comma 12 4 3 2" xfId="2637" xr:uid="{F80BA04F-D45C-4AAA-8468-42A3F2C122AF}"/>
    <cellStyle name="Comma 12 4 4" xfId="1230" xr:uid="{B922EFEF-2EAF-48DF-AAA9-34DF689F5267}"/>
    <cellStyle name="Comma 12 4 4 2" xfId="2827" xr:uid="{C8382137-F989-4795-86DC-9CCCBEB931C3}"/>
    <cellStyle name="Comma 12 4 5" xfId="1938" xr:uid="{CBF50815-443D-475C-92F3-5B38B8E45F53}"/>
    <cellStyle name="Comma 12 4 6" xfId="1747" xr:uid="{5E4EDBFA-023F-45FF-A020-ED75927853BC}"/>
    <cellStyle name="Comma 12 5" xfId="842" xr:uid="{6D984627-81C5-41B0-8BE6-668A1171EAB4}"/>
    <cellStyle name="Comma 12 5 2" xfId="2440" xr:uid="{53096AFC-7F4E-4EBB-A749-E12387062C8F}"/>
    <cellStyle name="Comma 12 6" xfId="1032" xr:uid="{617D06D4-CEAD-4084-A9A7-A93D0DFA6312}"/>
    <cellStyle name="Comma 12 6 2" xfId="2630" xr:uid="{55B3C022-7566-46E9-A9B4-11C063500289}"/>
    <cellStyle name="Comma 12 7" xfId="1223" xr:uid="{10572ECF-CC64-416D-9163-E3652656A267}"/>
    <cellStyle name="Comma 12 7 2" xfId="2820" xr:uid="{EF4229D7-E43B-4647-B74D-85E58C8C202B}"/>
    <cellStyle name="Comma 12 8" xfId="1931" xr:uid="{B0BB0118-AACD-4A61-9FD9-1E8CF69214D2}"/>
    <cellStyle name="Comma 12 9" xfId="1740" xr:uid="{7FBEAF5C-B738-4BA0-88B8-4CF41B5E0D06}"/>
    <cellStyle name="Comma 13" xfId="76" xr:uid="{AEEC3466-D3A3-4274-B1DB-75150DD34976}"/>
    <cellStyle name="Comma 13 2" xfId="77" xr:uid="{FABB6B36-964B-4137-8987-0EA63C0348C5}"/>
    <cellStyle name="Comma 13 2 2" xfId="78" xr:uid="{6B23B44D-DC69-4C63-AD92-751144E55A4C}"/>
    <cellStyle name="Comma 13 2 2 2" xfId="79" xr:uid="{4561ABEF-9F17-432F-8FD9-9E82AC1177BB}"/>
    <cellStyle name="Comma 13 2 2 2 2" xfId="853" xr:uid="{6C8072CE-9485-4452-8EF4-6AF4A2E04460}"/>
    <cellStyle name="Comma 13 2 2 2 2 2" xfId="2451" xr:uid="{1FBC6508-4946-4A22-9792-2A5B89DFC661}"/>
    <cellStyle name="Comma 13 2 2 2 3" xfId="1043" xr:uid="{C54056CA-FC70-404A-88DC-634A974493AF}"/>
    <cellStyle name="Comma 13 2 2 2 3 2" xfId="2641" xr:uid="{FCA27F1D-E169-4F51-BF8F-AA2C5B4412F8}"/>
    <cellStyle name="Comma 13 2 2 2 4" xfId="1234" xr:uid="{41EDBD20-FD8A-4638-8032-B984FF8D4F89}"/>
    <cellStyle name="Comma 13 2 2 2 4 2" xfId="2831" xr:uid="{A457C8FC-18C9-4933-8730-ED18D1896C29}"/>
    <cellStyle name="Comma 13 2 2 2 5" xfId="1942" xr:uid="{6E0FE192-905D-4734-AEAD-0884BE209141}"/>
    <cellStyle name="Comma 13 2 2 2 6" xfId="1751" xr:uid="{7296FE44-AB01-4585-A431-4168148E70F7}"/>
    <cellStyle name="Comma 13 2 2 3" xfId="852" xr:uid="{B6296F74-09DA-4E1C-B6E8-EFEFD7D9319A}"/>
    <cellStyle name="Comma 13 2 2 3 2" xfId="2450" xr:uid="{0566CA5D-4130-426B-B365-4F1FE06118D9}"/>
    <cellStyle name="Comma 13 2 2 4" xfId="1042" xr:uid="{EC69320A-C77A-44CB-890C-E3377EE2E681}"/>
    <cellStyle name="Comma 13 2 2 4 2" xfId="2640" xr:uid="{3D3DCB0E-BCFD-401D-B4BD-BE2E3CAC468F}"/>
    <cellStyle name="Comma 13 2 2 5" xfId="1233" xr:uid="{8E55C3BC-A4D5-41E1-9226-DF339368E7A6}"/>
    <cellStyle name="Comma 13 2 2 5 2" xfId="2830" xr:uid="{8EF1D8B2-6ECD-4152-823D-A32FA62D06D4}"/>
    <cellStyle name="Comma 13 2 2 6" xfId="1941" xr:uid="{4A76CA45-39A0-49B3-8336-5C5F93E40A4E}"/>
    <cellStyle name="Comma 13 2 2 7" xfId="1750" xr:uid="{BB2B1C32-838B-4740-B728-C9035F5992F7}"/>
    <cellStyle name="Comma 13 2 3" xfId="80" xr:uid="{07B0E8E8-15C9-4A63-A676-188BF837FF2B}"/>
    <cellStyle name="Comma 13 2 3 2" xfId="854" xr:uid="{CD7BDBDC-F837-47E0-A56E-900516EB124A}"/>
    <cellStyle name="Comma 13 2 3 2 2" xfId="2452" xr:uid="{2D7ADDE4-FC44-4C4C-8CA4-B8167144BE99}"/>
    <cellStyle name="Comma 13 2 3 3" xfId="1044" xr:uid="{CC537014-AD5E-44B9-B28B-5A523687F730}"/>
    <cellStyle name="Comma 13 2 3 3 2" xfId="2642" xr:uid="{373B6234-024F-45B6-9551-F4970BD6938C}"/>
    <cellStyle name="Comma 13 2 3 4" xfId="1235" xr:uid="{2F215ECA-5D8C-4C44-9293-1C3199839A7C}"/>
    <cellStyle name="Comma 13 2 3 4 2" xfId="2832" xr:uid="{F13AF088-D27B-44B4-81F4-D17B7542302E}"/>
    <cellStyle name="Comma 13 2 3 5" xfId="1943" xr:uid="{A0954620-A94D-43B6-A399-CC31CAE6F67E}"/>
    <cellStyle name="Comma 13 2 3 6" xfId="1752" xr:uid="{B1A6D3A9-F020-4BF6-A559-B0F3A32A7343}"/>
    <cellStyle name="Comma 13 2 4" xfId="851" xr:uid="{5E89D8E8-F967-4E80-958B-1CBA01625972}"/>
    <cellStyle name="Comma 13 2 4 2" xfId="2449" xr:uid="{36E5EE42-2968-4799-A865-F2A7F51BF728}"/>
    <cellStyle name="Comma 13 2 5" xfId="1041" xr:uid="{56C89FD2-DB2B-413D-8E18-81219455E239}"/>
    <cellStyle name="Comma 13 2 5 2" xfId="2639" xr:uid="{517DD555-ABA9-46B4-AADD-A2FB6FB002A1}"/>
    <cellStyle name="Comma 13 2 6" xfId="1232" xr:uid="{EC68B55D-149B-4469-9D18-67743233AC82}"/>
    <cellStyle name="Comma 13 2 6 2" xfId="2829" xr:uid="{0E4743F6-A386-4B3F-9797-A943172DDA61}"/>
    <cellStyle name="Comma 13 2 7" xfId="1940" xr:uid="{E19F385E-B007-4B90-9DB3-0E4838332E5E}"/>
    <cellStyle name="Comma 13 2 8" xfId="1749" xr:uid="{2F54121D-24A9-4A2A-8D9F-654EFED06F2A}"/>
    <cellStyle name="Comma 13 3" xfId="81" xr:uid="{88DDCB1E-6EBC-4B2B-8CBD-B49C611E1C6B}"/>
    <cellStyle name="Comma 13 3 2" xfId="82" xr:uid="{A33A278B-AD6B-4965-9AAE-3C5342EDCC2D}"/>
    <cellStyle name="Comma 13 3 2 2" xfId="856" xr:uid="{7B5C21F3-BB1C-46B0-8E6A-7590657B87A7}"/>
    <cellStyle name="Comma 13 3 2 2 2" xfId="2454" xr:uid="{54201FDC-60FB-4744-9B45-7279059B5721}"/>
    <cellStyle name="Comma 13 3 2 3" xfId="1046" xr:uid="{7B8CC881-232A-4D61-873C-79FB1CE49C43}"/>
    <cellStyle name="Comma 13 3 2 3 2" xfId="2644" xr:uid="{0F3EA67D-6CF3-4818-9F9B-41F1995E085C}"/>
    <cellStyle name="Comma 13 3 2 4" xfId="1237" xr:uid="{6DD02F9D-B5D8-4F0C-846B-56CA7011811B}"/>
    <cellStyle name="Comma 13 3 2 4 2" xfId="2834" xr:uid="{63E736D2-BF12-47D4-B70B-E3F3D8C4D8C1}"/>
    <cellStyle name="Comma 13 3 2 5" xfId="1945" xr:uid="{81001393-4C99-4AFD-B88F-FC7BDC659A56}"/>
    <cellStyle name="Comma 13 3 2 6" xfId="1754" xr:uid="{A4E424CF-7B0B-4C52-9C9B-DE41C561BDB8}"/>
    <cellStyle name="Comma 13 3 3" xfId="855" xr:uid="{1F135B9C-96D9-43D1-9AEC-2D3E0F14B467}"/>
    <cellStyle name="Comma 13 3 3 2" xfId="2453" xr:uid="{8E5EE190-9814-43E3-8A3D-889D2A03E00D}"/>
    <cellStyle name="Comma 13 3 4" xfId="1045" xr:uid="{3F1918E3-78E0-448D-A8EC-A59A8359FD84}"/>
    <cellStyle name="Comma 13 3 4 2" xfId="2643" xr:uid="{A65ACA83-9C90-4167-8501-8288E72E56A9}"/>
    <cellStyle name="Comma 13 3 5" xfId="1236" xr:uid="{16A6B73C-901D-4A43-AEFE-03067DF65DFF}"/>
    <cellStyle name="Comma 13 3 5 2" xfId="2833" xr:uid="{2B354F3F-1D47-44E1-8444-4817C33B5E1E}"/>
    <cellStyle name="Comma 13 3 6" xfId="1944" xr:uid="{6EE3683E-5D94-4D9F-94B0-7710084FD6DD}"/>
    <cellStyle name="Comma 13 3 7" xfId="1753" xr:uid="{AD578726-BD8C-41A4-810B-E6C08F6D35E5}"/>
    <cellStyle name="Comma 13 4" xfId="83" xr:uid="{B0CA8D2A-0A16-4DF0-B3C9-7C4D97688CFE}"/>
    <cellStyle name="Comma 13 4 2" xfId="857" xr:uid="{BCC03DB9-79D7-4211-9E18-5DC1FD6D3C11}"/>
    <cellStyle name="Comma 13 4 2 2" xfId="2455" xr:uid="{BE48FA99-ADCF-4AA8-8B2F-D73E8499CAD3}"/>
    <cellStyle name="Comma 13 4 3" xfId="1047" xr:uid="{71E2D98D-478C-43FE-91EA-9438DB265F42}"/>
    <cellStyle name="Comma 13 4 3 2" xfId="2645" xr:uid="{68B7AEDB-9584-4AF7-809C-5A1AF41B583D}"/>
    <cellStyle name="Comma 13 4 4" xfId="1238" xr:uid="{B6ECF990-A90D-40C3-B85C-FA03E4FF58D4}"/>
    <cellStyle name="Comma 13 4 4 2" xfId="2835" xr:uid="{74299A93-B688-4D47-A720-B22EED77621D}"/>
    <cellStyle name="Comma 13 4 5" xfId="1946" xr:uid="{E792F5C8-C5C4-46D0-9E95-150E818FB5C5}"/>
    <cellStyle name="Comma 13 4 6" xfId="1755" xr:uid="{245AC728-1730-4069-AB91-8F470A854151}"/>
    <cellStyle name="Comma 13 5" xfId="850" xr:uid="{7D6C07D8-47B4-46BE-8D34-F0FAA1ABEDE9}"/>
    <cellStyle name="Comma 13 5 2" xfId="2448" xr:uid="{5A7AD84B-D1D3-41D4-8381-00F9680CA72D}"/>
    <cellStyle name="Comma 13 6" xfId="1040" xr:uid="{BA149842-8024-4BD4-A2A5-F7C25F194CC9}"/>
    <cellStyle name="Comma 13 6 2" xfId="2638" xr:uid="{E9D9929A-2D75-4049-B88F-870BDE8FBAC3}"/>
    <cellStyle name="Comma 13 7" xfId="1231" xr:uid="{2A64389C-9B25-4D47-8116-4E61AE5BF3B5}"/>
    <cellStyle name="Comma 13 7 2" xfId="2828" xr:uid="{B1B149F1-FA28-4C5F-A374-E3FF5F9B1E88}"/>
    <cellStyle name="Comma 13 8" xfId="1939" xr:uid="{E81C4932-4039-42AA-9DC0-0C7099C997B2}"/>
    <cellStyle name="Comma 13 9" xfId="1748" xr:uid="{6029AACD-B4A8-4327-9A03-C6A5892EEA83}"/>
    <cellStyle name="Comma 14" xfId="84" xr:uid="{13A17B8F-9A0F-4C1A-98B0-9C01667064CF}"/>
    <cellStyle name="Comma 14 2" xfId="85" xr:uid="{D38C136B-EBA1-4A6B-A4D5-8988E1623021}"/>
    <cellStyle name="Comma 14 2 2" xfId="86" xr:uid="{966B65B3-4BBF-4790-BABF-D7BE3503FEE6}"/>
    <cellStyle name="Comma 14 2 2 2" xfId="87" xr:uid="{CDA21E37-9F52-491A-A18D-F6BA4232CD50}"/>
    <cellStyle name="Comma 14 2 2 2 2" xfId="861" xr:uid="{B62D724C-555C-49D9-A66F-8C46C0A23476}"/>
    <cellStyle name="Comma 14 2 2 2 2 2" xfId="2459" xr:uid="{CCACA7A1-276E-44BD-9F99-6F1AD0E7765D}"/>
    <cellStyle name="Comma 14 2 2 2 3" xfId="1051" xr:uid="{5D332598-2243-455D-A783-DFD0421F669A}"/>
    <cellStyle name="Comma 14 2 2 2 3 2" xfId="2649" xr:uid="{0E337C28-6F42-4B42-8738-7E26AB78F2CD}"/>
    <cellStyle name="Comma 14 2 2 2 4" xfId="1242" xr:uid="{252E5F5C-9219-420E-9574-994C9BE203CD}"/>
    <cellStyle name="Comma 14 2 2 2 4 2" xfId="2839" xr:uid="{C61B6BCD-BD35-49B9-984E-E8EB61F8C5EE}"/>
    <cellStyle name="Comma 14 2 2 2 5" xfId="1950" xr:uid="{3034D802-92B4-4952-BD91-AA9C699B3022}"/>
    <cellStyle name="Comma 14 2 2 2 6" xfId="1759" xr:uid="{D16BDFCA-8F8D-4CB1-AA29-EA96ADB99FB6}"/>
    <cellStyle name="Comma 14 2 2 3" xfId="860" xr:uid="{FCCAB538-3BD8-4B85-A675-6FBAEE86FA9B}"/>
    <cellStyle name="Comma 14 2 2 3 2" xfId="2458" xr:uid="{4F184E77-53B4-45BA-87B5-24EE7F7BF366}"/>
    <cellStyle name="Comma 14 2 2 4" xfId="1050" xr:uid="{25E429E5-D5E9-44EE-BAED-A3796778A62B}"/>
    <cellStyle name="Comma 14 2 2 4 2" xfId="2648" xr:uid="{B3C0E932-DE05-4CC8-8C09-C67481D9F263}"/>
    <cellStyle name="Comma 14 2 2 5" xfId="1241" xr:uid="{2F736A85-67A5-4023-9F6B-B9A5AD947ADC}"/>
    <cellStyle name="Comma 14 2 2 5 2" xfId="2838" xr:uid="{0B6C076D-C003-4D44-8ADC-56C1E88B8F51}"/>
    <cellStyle name="Comma 14 2 2 6" xfId="1949" xr:uid="{A11A1810-B5A3-4C6C-9BBD-E1C675B3FB58}"/>
    <cellStyle name="Comma 14 2 2 7" xfId="1758" xr:uid="{A66ECF81-009F-45C0-9CA0-A7F5FD7A7FB2}"/>
    <cellStyle name="Comma 14 2 3" xfId="88" xr:uid="{92DC89C9-52D7-449A-9A3D-660C0868AF6A}"/>
    <cellStyle name="Comma 14 2 3 2" xfId="862" xr:uid="{5227024A-F5AE-4459-BCC7-A09D49809B67}"/>
    <cellStyle name="Comma 14 2 3 2 2" xfId="2460" xr:uid="{63E24D14-E599-491A-B11F-275369B39B7F}"/>
    <cellStyle name="Comma 14 2 3 3" xfId="1052" xr:uid="{97C64177-2ADC-4539-BEE1-50CFB7450553}"/>
    <cellStyle name="Comma 14 2 3 3 2" xfId="2650" xr:uid="{85519172-3829-42E6-A3B5-F7ED5CC9FD9D}"/>
    <cellStyle name="Comma 14 2 3 4" xfId="1243" xr:uid="{DDC9E93C-C86C-4F6C-A33D-3B57F0A7D678}"/>
    <cellStyle name="Comma 14 2 3 4 2" xfId="2840" xr:uid="{1F4EED08-EB21-4EEC-BEE5-AE016C29C48D}"/>
    <cellStyle name="Comma 14 2 3 5" xfId="1951" xr:uid="{1E52BCA2-64DB-47BB-959A-DBEC0E1FAEF5}"/>
    <cellStyle name="Comma 14 2 3 6" xfId="1760" xr:uid="{4FE60FEE-2A81-41F3-93CA-F04B88F6EA2E}"/>
    <cellStyle name="Comma 14 2 4" xfId="859" xr:uid="{DB1C4951-AED5-4959-8143-101F109D78E6}"/>
    <cellStyle name="Comma 14 2 4 2" xfId="2457" xr:uid="{E9336567-9718-4654-A52F-093E8740577F}"/>
    <cellStyle name="Comma 14 2 5" xfId="1049" xr:uid="{3E1561B4-A201-4FB9-8803-7C6D17980A56}"/>
    <cellStyle name="Comma 14 2 5 2" xfId="2647" xr:uid="{42DB0950-2260-4A2E-8DF0-5B6B60162EEF}"/>
    <cellStyle name="Comma 14 2 6" xfId="1240" xr:uid="{AB2D7A42-6430-43E0-8636-9C1D19F91F9F}"/>
    <cellStyle name="Comma 14 2 6 2" xfId="2837" xr:uid="{0E83EDDE-387E-417E-B3C0-08ED0B67A5FA}"/>
    <cellStyle name="Comma 14 2 7" xfId="1948" xr:uid="{38E00584-C9DE-4DA3-BA1B-E543BE584CFA}"/>
    <cellStyle name="Comma 14 2 8" xfId="1757" xr:uid="{A79BBC73-EF75-483B-B4E1-4C14326377B4}"/>
    <cellStyle name="Comma 14 3" xfId="89" xr:uid="{2C4F730F-8AC7-435F-AE65-95676214E962}"/>
    <cellStyle name="Comma 14 3 2" xfId="90" xr:uid="{1E0A75C1-DAAE-496A-997C-97C42A7F084D}"/>
    <cellStyle name="Comma 14 3 2 2" xfId="864" xr:uid="{AE4AD03D-F876-43C2-BFBC-7130C1E287E9}"/>
    <cellStyle name="Comma 14 3 2 2 2" xfId="2462" xr:uid="{644790BD-0111-4CC0-834D-EDFA4E48C45E}"/>
    <cellStyle name="Comma 14 3 2 3" xfId="1054" xr:uid="{70BEF33E-90AE-458F-9355-20CFD9D814F3}"/>
    <cellStyle name="Comma 14 3 2 3 2" xfId="2652" xr:uid="{07C436B6-3E5A-4C7F-BAF6-CB1A32A8C49E}"/>
    <cellStyle name="Comma 14 3 2 4" xfId="1245" xr:uid="{28D84C34-A98C-4541-BB99-561DB6B2FE46}"/>
    <cellStyle name="Comma 14 3 2 4 2" xfId="2842" xr:uid="{A2125EE1-DAC6-4E73-99AD-06BF8BB62B37}"/>
    <cellStyle name="Comma 14 3 2 5" xfId="1953" xr:uid="{75C0A579-DAEF-445F-8745-691817028935}"/>
    <cellStyle name="Comma 14 3 2 6" xfId="1762" xr:uid="{6D18580B-C4D6-4938-937C-60570E2777FA}"/>
    <cellStyle name="Comma 14 3 3" xfId="863" xr:uid="{3D10B580-EFB1-4F67-85D3-CF78E6A0F405}"/>
    <cellStyle name="Comma 14 3 3 2" xfId="2461" xr:uid="{C26B7F0A-DEA8-46F2-875F-626C09989BB2}"/>
    <cellStyle name="Comma 14 3 4" xfId="1053" xr:uid="{B0F02370-B96C-48D2-A51E-018C2F6A7513}"/>
    <cellStyle name="Comma 14 3 4 2" xfId="2651" xr:uid="{A53D7AB8-CE85-49B2-AA36-5A488253E3B9}"/>
    <cellStyle name="Comma 14 3 5" xfId="1244" xr:uid="{CD7AD6F7-F22B-4C2D-ADDA-BFC12D699951}"/>
    <cellStyle name="Comma 14 3 5 2" xfId="2841" xr:uid="{F539B84C-FE6B-45BA-989E-57C48EBBC417}"/>
    <cellStyle name="Comma 14 3 6" xfId="1952" xr:uid="{7F83A6B1-A493-47B2-8A47-48A4236D1063}"/>
    <cellStyle name="Comma 14 3 7" xfId="1761" xr:uid="{EA3003B5-EA14-4FB2-A7C5-85800FC70CDB}"/>
    <cellStyle name="Comma 14 4" xfId="91" xr:uid="{493A9D6E-65F4-4DE6-A322-E2B19E4D8B1E}"/>
    <cellStyle name="Comma 14 4 2" xfId="865" xr:uid="{98DC4058-02A3-4951-A113-C0155CE39FAA}"/>
    <cellStyle name="Comma 14 4 2 2" xfId="2463" xr:uid="{08188AE4-02A9-4A25-9B67-699E0706B851}"/>
    <cellStyle name="Comma 14 4 3" xfId="1055" xr:uid="{151138A5-AC85-4996-A0F8-C1C743797DCA}"/>
    <cellStyle name="Comma 14 4 3 2" xfId="2653" xr:uid="{ED361877-C1E2-4BB7-9803-D87D58235DDB}"/>
    <cellStyle name="Comma 14 4 4" xfId="1246" xr:uid="{17529E9A-27E0-4CB6-9F78-E58117A0F691}"/>
    <cellStyle name="Comma 14 4 4 2" xfId="2843" xr:uid="{9B52839D-30B0-49E3-B03D-C8EC6D2FDBD9}"/>
    <cellStyle name="Comma 14 4 5" xfId="1954" xr:uid="{08BD0483-F878-4DFE-BB5A-83515AD0F99C}"/>
    <cellStyle name="Comma 14 4 6" xfId="1763" xr:uid="{5B57F27A-C218-4CC1-A828-F6B9E380C25A}"/>
    <cellStyle name="Comma 14 5" xfId="858" xr:uid="{2EAAAF8C-02CB-49DA-BE9F-D67CC6CD8074}"/>
    <cellStyle name="Comma 14 5 2" xfId="2456" xr:uid="{B253CCE4-F886-4BD7-A978-CF1D0DD65AC8}"/>
    <cellStyle name="Comma 14 6" xfId="1048" xr:uid="{7DC1EC53-A5C9-4DF8-B431-35527A7CADE8}"/>
    <cellStyle name="Comma 14 6 2" xfId="2646" xr:uid="{24D93FA7-CBEB-4893-A851-C98D2EA69C1D}"/>
    <cellStyle name="Comma 14 7" xfId="1239" xr:uid="{A080BFD5-996A-4E78-A600-6BEDC936048A}"/>
    <cellStyle name="Comma 14 7 2" xfId="2836" xr:uid="{0AF8267B-5424-412A-96B1-2EE0EEE08882}"/>
    <cellStyle name="Comma 14 8" xfId="1947" xr:uid="{A69E0839-D9F4-4D8A-8689-A2348AE0C575}"/>
    <cellStyle name="Comma 14 9" xfId="1756" xr:uid="{1D77AD5F-F8B8-4F4A-BB6A-49EF34E5A585}"/>
    <cellStyle name="Comma 15" xfId="92" xr:uid="{7095A304-7DA1-4783-85F0-9F545089EED3}"/>
    <cellStyle name="Comma 15 2" xfId="93" xr:uid="{658738E4-57E6-4481-B6A0-4E4F7310DD91}"/>
    <cellStyle name="Comma 15 2 2" xfId="94" xr:uid="{5FE0CA38-58B5-48E0-B106-65B1DD422956}"/>
    <cellStyle name="Comma 15 2 2 2" xfId="95" xr:uid="{190C40CA-CAC7-4692-AD80-0A5BDEBF5CDC}"/>
    <cellStyle name="Comma 15 2 2 2 2" xfId="869" xr:uid="{B4FDA4F9-9177-473A-ACD0-863075D7B832}"/>
    <cellStyle name="Comma 15 2 2 2 2 2" xfId="2467" xr:uid="{DC1968E3-64EA-4945-9D57-78855D79D8EB}"/>
    <cellStyle name="Comma 15 2 2 2 3" xfId="1059" xr:uid="{73F40118-584F-4D34-9687-67870E83AAA1}"/>
    <cellStyle name="Comma 15 2 2 2 3 2" xfId="2657" xr:uid="{E80A8239-AC92-43F1-87C6-CFA61332BF9B}"/>
    <cellStyle name="Comma 15 2 2 2 4" xfId="1250" xr:uid="{25489E64-5917-4BF5-AACC-40307554F227}"/>
    <cellStyle name="Comma 15 2 2 2 4 2" xfId="2847" xr:uid="{BA876D65-C017-47EB-AE9D-5AF21413F587}"/>
    <cellStyle name="Comma 15 2 2 2 5" xfId="1958" xr:uid="{82524FD0-D964-44E6-9D77-5CAF9B0BA0BF}"/>
    <cellStyle name="Comma 15 2 2 2 6" xfId="1767" xr:uid="{B30E5360-E1E4-468B-A1B9-2744391547ED}"/>
    <cellStyle name="Comma 15 2 2 3" xfId="868" xr:uid="{C167C0AC-11E8-4B5A-B8E6-FB34D2EF2AE6}"/>
    <cellStyle name="Comma 15 2 2 3 2" xfId="2466" xr:uid="{331AEA16-BB92-4F5D-97E1-E2069341324B}"/>
    <cellStyle name="Comma 15 2 2 4" xfId="1058" xr:uid="{9B284A1E-9A9C-4AF0-BAC9-7D226E14AEC6}"/>
    <cellStyle name="Comma 15 2 2 4 2" xfId="2656" xr:uid="{58D89CF0-CE4A-4FCC-9290-404E730CCD0A}"/>
    <cellStyle name="Comma 15 2 2 5" xfId="1249" xr:uid="{9B7845ED-C9C9-43AC-AC45-1436BA6593D5}"/>
    <cellStyle name="Comma 15 2 2 5 2" xfId="2846" xr:uid="{80580B34-1016-4766-A09A-09856D8CB81E}"/>
    <cellStyle name="Comma 15 2 2 6" xfId="1957" xr:uid="{A4A84B68-D8B2-4295-9E62-DBC0A1054D99}"/>
    <cellStyle name="Comma 15 2 2 7" xfId="1766" xr:uid="{8B4C4955-A927-40E0-94B8-67CC3EE5149C}"/>
    <cellStyle name="Comma 15 2 3" xfId="96" xr:uid="{B2F48856-3CD1-43E6-A3B1-12D223589382}"/>
    <cellStyle name="Comma 15 2 3 2" xfId="870" xr:uid="{F57886C7-DDC3-42A1-A64E-A85679D74E9A}"/>
    <cellStyle name="Comma 15 2 3 2 2" xfId="2468" xr:uid="{F0E9CF5B-AA24-4048-84D7-2CC519F566CF}"/>
    <cellStyle name="Comma 15 2 3 3" xfId="1060" xr:uid="{1458B390-05B8-40C2-B03F-295DB80E8CE5}"/>
    <cellStyle name="Comma 15 2 3 3 2" xfId="2658" xr:uid="{94EFD1B5-1B1A-4CC5-AB73-577192103D21}"/>
    <cellStyle name="Comma 15 2 3 4" xfId="1251" xr:uid="{4D0A58CA-4E3B-4A76-B32A-F288EECA50AD}"/>
    <cellStyle name="Comma 15 2 3 4 2" xfId="2848" xr:uid="{AFCD4B0E-2D77-4BD1-915E-99D181691EFC}"/>
    <cellStyle name="Comma 15 2 3 5" xfId="1959" xr:uid="{17BFD467-8A16-43CF-8883-D320AB6CD506}"/>
    <cellStyle name="Comma 15 2 3 6" xfId="1768" xr:uid="{90B10423-53C5-4B1C-8458-0FA81DB10328}"/>
    <cellStyle name="Comma 15 2 4" xfId="867" xr:uid="{BEBD4021-97AC-41AB-A207-7535D6D0CEA9}"/>
    <cellStyle name="Comma 15 2 4 2" xfId="2465" xr:uid="{E7C0884D-02DA-4220-A46F-FDB3D34AD374}"/>
    <cellStyle name="Comma 15 2 5" xfId="1057" xr:uid="{E55347A7-A447-4DF1-87D0-6A405851CB53}"/>
    <cellStyle name="Comma 15 2 5 2" xfId="2655" xr:uid="{FE52D6BC-47CF-4047-B129-A89D44BFEAB2}"/>
    <cellStyle name="Comma 15 2 6" xfId="1248" xr:uid="{4EB1544B-A6E3-4070-9AB8-5FB8BA5EABB0}"/>
    <cellStyle name="Comma 15 2 6 2" xfId="2845" xr:uid="{B81E58D2-DDF5-42B0-A356-5341A0367946}"/>
    <cellStyle name="Comma 15 2 7" xfId="1956" xr:uid="{7B566D10-6A52-4358-8AB9-A3D1BB6D7663}"/>
    <cellStyle name="Comma 15 2 8" xfId="1765" xr:uid="{E510078F-9B85-4B26-B1FE-2538F1EBC181}"/>
    <cellStyle name="Comma 15 3" xfId="97" xr:uid="{1DCAEFC7-A14A-4D66-ABD9-12E2CB81023B}"/>
    <cellStyle name="Comma 15 3 2" xfId="98" xr:uid="{72F5B135-911E-49E3-82D8-BD870CB48764}"/>
    <cellStyle name="Comma 15 3 2 2" xfId="872" xr:uid="{47D17B17-6213-41C9-B9D2-06CE58D4CC0F}"/>
    <cellStyle name="Comma 15 3 2 2 2" xfId="2470" xr:uid="{B74CA470-DCD3-4D41-99D4-032D1A0FAF2A}"/>
    <cellStyle name="Comma 15 3 2 3" xfId="1062" xr:uid="{D70ACAC7-EFB4-4E73-B015-BA78571DBB89}"/>
    <cellStyle name="Comma 15 3 2 3 2" xfId="2660" xr:uid="{29FCEA98-9473-4911-95DB-54DDE3BC5670}"/>
    <cellStyle name="Comma 15 3 2 4" xfId="1253" xr:uid="{F91DF2F1-3F68-4C5B-8276-C174B87F1C26}"/>
    <cellStyle name="Comma 15 3 2 4 2" xfId="2850" xr:uid="{E2FD7C32-192E-4CAE-BC87-D4B8291EA1E4}"/>
    <cellStyle name="Comma 15 3 2 5" xfId="1961" xr:uid="{A129981D-9779-4799-9F60-B45F2E7B93B8}"/>
    <cellStyle name="Comma 15 3 2 6" xfId="1770" xr:uid="{535B51B8-98F7-49D9-B056-E5FC08A22BB0}"/>
    <cellStyle name="Comma 15 3 3" xfId="871" xr:uid="{EC17FA48-9E93-4E86-80F8-F027AA9F4E8C}"/>
    <cellStyle name="Comma 15 3 3 2" xfId="2469" xr:uid="{D57BB003-B98B-4515-B2CA-07F5536B752E}"/>
    <cellStyle name="Comma 15 3 4" xfId="1061" xr:uid="{86E11C35-4B0D-486F-ABAF-3070AF369673}"/>
    <cellStyle name="Comma 15 3 4 2" xfId="2659" xr:uid="{EE9A39A6-9AC3-4F15-813F-025D55E4A620}"/>
    <cellStyle name="Comma 15 3 5" xfId="1252" xr:uid="{04418CF7-873C-4CA4-92AB-988EDE94304B}"/>
    <cellStyle name="Comma 15 3 5 2" xfId="2849" xr:uid="{D544685E-354D-47C5-8A47-EBC3CFB7A621}"/>
    <cellStyle name="Comma 15 3 6" xfId="1960" xr:uid="{5EF98863-BE76-4960-88AB-2F73E9FD4DEA}"/>
    <cellStyle name="Comma 15 3 7" xfId="1769" xr:uid="{6CA39F48-C201-4C37-9508-3682C48A99D5}"/>
    <cellStyle name="Comma 15 4" xfId="99" xr:uid="{F63D0D12-1DDA-48DD-ACDA-1A9BBDADB371}"/>
    <cellStyle name="Comma 15 4 2" xfId="873" xr:uid="{847749B6-8F45-4E0A-9AB2-20A899386ACA}"/>
    <cellStyle name="Comma 15 4 2 2" xfId="2471" xr:uid="{90341AE5-07FD-4DAA-A4E8-0563EFA076AC}"/>
    <cellStyle name="Comma 15 4 3" xfId="1063" xr:uid="{044B6F79-B505-4AF9-B3AC-FB537FDA11C1}"/>
    <cellStyle name="Comma 15 4 3 2" xfId="2661" xr:uid="{E5ADF53C-D8F0-4641-8D89-380157865B40}"/>
    <cellStyle name="Comma 15 4 4" xfId="1254" xr:uid="{102812E1-10E3-404C-A961-2549011B4209}"/>
    <cellStyle name="Comma 15 4 4 2" xfId="2851" xr:uid="{31947133-3AC5-47E3-8A9B-1724ECC16A3A}"/>
    <cellStyle name="Comma 15 4 5" xfId="1962" xr:uid="{EF8AB975-1475-41F0-9E9F-7051F6963DBC}"/>
    <cellStyle name="Comma 15 4 6" xfId="1771" xr:uid="{E8526942-36FF-44E6-A683-DA7FC502A141}"/>
    <cellStyle name="Comma 15 5" xfId="866" xr:uid="{44FE6383-153E-49E7-9C8B-1183D5CE9E8C}"/>
    <cellStyle name="Comma 15 5 2" xfId="2464" xr:uid="{08E25AAC-8B5F-4807-852D-1A2FA965494F}"/>
    <cellStyle name="Comma 15 6" xfId="1056" xr:uid="{79DFCB63-475B-4EAB-9B43-C91EBBEF923A}"/>
    <cellStyle name="Comma 15 6 2" xfId="2654" xr:uid="{3A661C83-F966-48AD-AE0A-40C617D6CD1A}"/>
    <cellStyle name="Comma 15 7" xfId="1247" xr:uid="{171066E0-12ED-4457-AE59-D24B29E01E84}"/>
    <cellStyle name="Comma 15 7 2" xfId="2844" xr:uid="{32031C43-8649-468C-B165-0E42FDF9021E}"/>
    <cellStyle name="Comma 15 8" xfId="1955" xr:uid="{705C9F89-D766-490F-ABF2-29428E188A54}"/>
    <cellStyle name="Comma 15 9" xfId="1764" xr:uid="{02B45121-616D-4BB8-856E-F891AB8447F3}"/>
    <cellStyle name="Comma 16" xfId="100" xr:uid="{EBE55ACB-5E60-4F87-B453-198241F478D9}"/>
    <cellStyle name="Comma 16 2" xfId="101" xr:uid="{17262CAF-32BC-467E-BE9C-7899D7F0E93A}"/>
    <cellStyle name="Comma 16 2 2" xfId="102" xr:uid="{CC80EA05-6084-4ECF-8B53-EAF4794E0511}"/>
    <cellStyle name="Comma 16 2 2 2" xfId="103" xr:uid="{9FF9C0BA-F8DB-4816-980A-4FE9B4EC9200}"/>
    <cellStyle name="Comma 16 2 2 2 2" xfId="877" xr:uid="{2DD7196F-F43F-4A3A-B62E-B442E35C4297}"/>
    <cellStyle name="Comma 16 2 2 2 2 2" xfId="2475" xr:uid="{D18C799E-7CD9-4304-BC9C-C70D0E6F9480}"/>
    <cellStyle name="Comma 16 2 2 2 3" xfId="1067" xr:uid="{6E9F8FF9-CFAF-4947-9112-8322CE7E0D30}"/>
    <cellStyle name="Comma 16 2 2 2 3 2" xfId="2665" xr:uid="{97BBA9FE-2BCF-4D45-8F06-0AE32A1389FD}"/>
    <cellStyle name="Comma 16 2 2 2 4" xfId="1258" xr:uid="{D2AA4222-B3AB-44A1-BB0B-03729A92AF20}"/>
    <cellStyle name="Comma 16 2 2 2 4 2" xfId="2855" xr:uid="{D414ACE0-09A5-4FE5-AA57-0CC747D4F0FE}"/>
    <cellStyle name="Comma 16 2 2 2 5" xfId="1966" xr:uid="{F20A3817-3675-4394-A9DA-D364DEA8925D}"/>
    <cellStyle name="Comma 16 2 2 2 6" xfId="1775" xr:uid="{8D45FB20-698D-45C5-BC95-7242C837B189}"/>
    <cellStyle name="Comma 16 2 2 3" xfId="876" xr:uid="{C3A75342-66CA-44C6-89BB-C8E88989489B}"/>
    <cellStyle name="Comma 16 2 2 3 2" xfId="2474" xr:uid="{B19B4E9B-F140-407F-833F-D1641119B301}"/>
    <cellStyle name="Comma 16 2 2 4" xfId="1066" xr:uid="{B7FCC718-3CC7-4AFE-BF69-EF9EFD188008}"/>
    <cellStyle name="Comma 16 2 2 4 2" xfId="2664" xr:uid="{4EF5303A-E104-4FC9-AF27-03A849FCDB40}"/>
    <cellStyle name="Comma 16 2 2 5" xfId="1257" xr:uid="{6AB110F0-DEF8-4B17-AE1D-47BEE8E07806}"/>
    <cellStyle name="Comma 16 2 2 5 2" xfId="2854" xr:uid="{41A9B47D-20CE-4405-8447-C02DC9D43B5B}"/>
    <cellStyle name="Comma 16 2 2 6" xfId="1965" xr:uid="{CE08BBCD-12FA-4319-AEDF-C134328C2FA5}"/>
    <cellStyle name="Comma 16 2 2 7" xfId="1774" xr:uid="{8415370F-5716-4D01-BDFE-70F0FBD3A1A3}"/>
    <cellStyle name="Comma 16 2 3" xfId="104" xr:uid="{26116409-9505-46BA-A075-B889628B84C6}"/>
    <cellStyle name="Comma 16 2 3 2" xfId="878" xr:uid="{F1451101-3BE0-42F0-8D0C-C2401E3E2FC2}"/>
    <cellStyle name="Comma 16 2 3 2 2" xfId="2476" xr:uid="{FA0A06E7-05E4-403D-976B-FFDEE2EA29FB}"/>
    <cellStyle name="Comma 16 2 3 3" xfId="1068" xr:uid="{32CE5A4B-A00C-4E93-8758-250E3E088413}"/>
    <cellStyle name="Comma 16 2 3 3 2" xfId="2666" xr:uid="{677F3935-C910-4F98-B21A-C8BE4D7C48FA}"/>
    <cellStyle name="Comma 16 2 3 4" xfId="1259" xr:uid="{7FFCE3A0-9ADB-445D-8474-27EFA9C9A012}"/>
    <cellStyle name="Comma 16 2 3 4 2" xfId="2856" xr:uid="{13D132BD-BC61-4FAC-8F48-70EEDBB1AFD8}"/>
    <cellStyle name="Comma 16 2 3 5" xfId="1967" xr:uid="{C3E1DD61-54E6-4ADD-A120-B8C8F2B1E0E1}"/>
    <cellStyle name="Comma 16 2 3 6" xfId="1776" xr:uid="{F6E84728-B3F0-427C-90E3-DC24715730A0}"/>
    <cellStyle name="Comma 16 2 4" xfId="875" xr:uid="{82C09680-1158-4304-AF9E-6A838B6C6EFB}"/>
    <cellStyle name="Comma 16 2 4 2" xfId="2473" xr:uid="{31E054D9-301A-4A11-B217-A16F3C04EB87}"/>
    <cellStyle name="Comma 16 2 5" xfId="1065" xr:uid="{B9074966-2E40-408C-8C81-D45138B0B9A5}"/>
    <cellStyle name="Comma 16 2 5 2" xfId="2663" xr:uid="{E81B1229-0154-41F5-849A-CDC190B4251F}"/>
    <cellStyle name="Comma 16 2 6" xfId="1256" xr:uid="{83E4DED0-D364-45AA-9A28-BCC03EFAC226}"/>
    <cellStyle name="Comma 16 2 6 2" xfId="2853" xr:uid="{0786DD14-85E8-4802-8DAC-16F7E8ED84AB}"/>
    <cellStyle name="Comma 16 2 7" xfId="1964" xr:uid="{6168929E-7D67-4366-B255-5BB07BD0E5BD}"/>
    <cellStyle name="Comma 16 2 8" xfId="1773" xr:uid="{1886613E-1AED-439F-B36C-94ED2F5D2E26}"/>
    <cellStyle name="Comma 16 3" xfId="105" xr:uid="{12AC6661-0AD7-427A-A45C-167A6D73C8BE}"/>
    <cellStyle name="Comma 16 3 2" xfId="106" xr:uid="{2696FD08-525D-42AD-8702-8C5D01A133AE}"/>
    <cellStyle name="Comma 16 3 2 2" xfId="880" xr:uid="{4FAF9E9D-B540-404F-822B-962A80BBA682}"/>
    <cellStyle name="Comma 16 3 2 2 2" xfId="2478" xr:uid="{6FFD052E-2D38-4001-905D-3DEE2F954950}"/>
    <cellStyle name="Comma 16 3 2 3" xfId="1070" xr:uid="{D54D5D93-A864-4B50-A39D-9DA760A12E7C}"/>
    <cellStyle name="Comma 16 3 2 3 2" xfId="2668" xr:uid="{9056EAF1-8973-4C69-8BD9-43D0134913DC}"/>
    <cellStyle name="Comma 16 3 2 4" xfId="1261" xr:uid="{19466221-83C7-43AE-9D01-59928D970F6D}"/>
    <cellStyle name="Comma 16 3 2 4 2" xfId="2858" xr:uid="{203F5D13-5234-44B9-A029-E08F89598E0B}"/>
    <cellStyle name="Comma 16 3 2 5" xfId="1969" xr:uid="{39A8C57C-EDC0-4D45-9072-22A6CBAAAB9E}"/>
    <cellStyle name="Comma 16 3 2 6" xfId="1778" xr:uid="{30CA0A68-41B8-4147-9CA1-604758B5EEF6}"/>
    <cellStyle name="Comma 16 3 3" xfId="879" xr:uid="{D7E59BEC-356C-4366-9622-FE27B1915016}"/>
    <cellStyle name="Comma 16 3 3 2" xfId="2477" xr:uid="{0D87E230-65D6-43EB-9358-915EA8A064AE}"/>
    <cellStyle name="Comma 16 3 4" xfId="1069" xr:uid="{40FCF0D5-E32A-4458-8A61-309D3A479F38}"/>
    <cellStyle name="Comma 16 3 4 2" xfId="2667" xr:uid="{06C88DEA-C746-464F-9086-CF6AC21133BD}"/>
    <cellStyle name="Comma 16 3 5" xfId="1260" xr:uid="{40AB9266-ED90-432D-9850-04A0798F2E31}"/>
    <cellStyle name="Comma 16 3 5 2" xfId="2857" xr:uid="{2B070F61-21F4-40A9-BA13-0042D2C37E71}"/>
    <cellStyle name="Comma 16 3 6" xfId="1968" xr:uid="{1A8CC79F-B6E4-42C1-B554-66A4F6CB85C7}"/>
    <cellStyle name="Comma 16 3 7" xfId="1777" xr:uid="{6E7E516D-B087-4C9C-89A7-896F36D3B7D1}"/>
    <cellStyle name="Comma 16 4" xfId="107" xr:uid="{AFBAE959-77A2-4B31-B410-4E1DD40FE4CC}"/>
    <cellStyle name="Comma 16 4 2" xfId="881" xr:uid="{295A1305-75DE-4972-9B5F-7F4FDFB95BF8}"/>
    <cellStyle name="Comma 16 4 2 2" xfId="2479" xr:uid="{4E76682A-9A0A-40BE-B609-D036F77B285A}"/>
    <cellStyle name="Comma 16 4 3" xfId="1071" xr:uid="{2BBA5CB3-D2ED-4C44-9197-1A37FB082431}"/>
    <cellStyle name="Comma 16 4 3 2" xfId="2669" xr:uid="{8E381A26-E920-4723-81CB-2E52BD876D7A}"/>
    <cellStyle name="Comma 16 4 4" xfId="1262" xr:uid="{6DD9B937-1AE9-4953-AF79-FB2BE1090AFF}"/>
    <cellStyle name="Comma 16 4 4 2" xfId="2859" xr:uid="{57122957-5E7F-48FD-834E-B145C5D885BB}"/>
    <cellStyle name="Comma 16 4 5" xfId="1970" xr:uid="{01A70D99-A5CA-4471-987D-D02A6F415921}"/>
    <cellStyle name="Comma 16 4 6" xfId="1779" xr:uid="{0A00D080-E7F8-431C-9846-A7363CC0D9C1}"/>
    <cellStyle name="Comma 16 5" xfId="874" xr:uid="{2843B691-7E65-40F6-B6EB-82D94CD67B26}"/>
    <cellStyle name="Comma 16 5 2" xfId="2472" xr:uid="{37F4BA82-2025-45F7-AACF-21784CF394E4}"/>
    <cellStyle name="Comma 16 6" xfId="1064" xr:uid="{6B526893-9BA1-4550-AB62-53FC04D256B4}"/>
    <cellStyle name="Comma 16 6 2" xfId="2662" xr:uid="{21A23D1C-78AE-41FB-ACEB-96C487920497}"/>
    <cellStyle name="Comma 16 7" xfId="1255" xr:uid="{EBD7544D-15A3-436B-BECA-A813D370B188}"/>
    <cellStyle name="Comma 16 7 2" xfId="2852" xr:uid="{41DE6BD2-153A-4BDB-9A90-3D1E2B46E93D}"/>
    <cellStyle name="Comma 16 8" xfId="1963" xr:uid="{3D2AB713-738A-403A-8BED-220CC4F10F55}"/>
    <cellStyle name="Comma 16 9" xfId="1772" xr:uid="{F85D4A58-C109-4892-8A3E-BFC6299C3AD5}"/>
    <cellStyle name="Comma 17" xfId="108" xr:uid="{AF3F73C0-B6E1-4D58-979C-F5FA241BB2E6}"/>
    <cellStyle name="Comma 17 2" xfId="109" xr:uid="{8CC4FDF1-76BC-4DD1-A11D-A446466A7380}"/>
    <cellStyle name="Comma 17 2 2" xfId="110" xr:uid="{4214671B-6F9A-4D07-90E6-EAA9D62E4A75}"/>
    <cellStyle name="Comma 17 2 2 2" xfId="111" xr:uid="{8B00AB87-C3A0-4264-AB8C-762889EF6FED}"/>
    <cellStyle name="Comma 17 2 2 2 2" xfId="885" xr:uid="{E3638DA0-FE1C-4913-8EE8-8448E698BD81}"/>
    <cellStyle name="Comma 17 2 2 2 2 2" xfId="2483" xr:uid="{22E848D1-07EC-4DCD-BCCB-D3EC06A5E75A}"/>
    <cellStyle name="Comma 17 2 2 2 3" xfId="1075" xr:uid="{A7F69EF3-B904-4189-BBAE-D9AAB5AE17BD}"/>
    <cellStyle name="Comma 17 2 2 2 3 2" xfId="2673" xr:uid="{7B78D307-8DBD-4B7E-B931-244CC2379502}"/>
    <cellStyle name="Comma 17 2 2 2 4" xfId="1266" xr:uid="{834C4145-60F7-4B01-9E85-347F6884ADE6}"/>
    <cellStyle name="Comma 17 2 2 2 4 2" xfId="2863" xr:uid="{CD94E28D-ADAC-4361-9B63-88215531A87E}"/>
    <cellStyle name="Comma 17 2 2 2 5" xfId="1974" xr:uid="{A6B6BE3C-19EC-4C87-BD3A-A81B296AEACE}"/>
    <cellStyle name="Comma 17 2 2 2 6" xfId="1783" xr:uid="{5314B0BD-020E-4FCE-9C03-FA5AEA8B1667}"/>
    <cellStyle name="Comma 17 2 2 3" xfId="884" xr:uid="{F7F04286-9597-4937-B66E-6F5642DBB7DE}"/>
    <cellStyle name="Comma 17 2 2 3 2" xfId="2482" xr:uid="{E376C086-4E3A-4001-99FF-2F81C80F09C5}"/>
    <cellStyle name="Comma 17 2 2 4" xfId="1074" xr:uid="{5D3236CF-F495-4AEF-8C23-24BEB52A35E6}"/>
    <cellStyle name="Comma 17 2 2 4 2" xfId="2672" xr:uid="{43033990-8B43-4BAF-B760-7E0229E02BDE}"/>
    <cellStyle name="Comma 17 2 2 5" xfId="1265" xr:uid="{1154EFBD-1B0C-4FDE-9443-3821B4D4A32E}"/>
    <cellStyle name="Comma 17 2 2 5 2" xfId="2862" xr:uid="{34B018A0-9780-47D5-98B0-B904EBA97A29}"/>
    <cellStyle name="Comma 17 2 2 6" xfId="1973" xr:uid="{19D9197E-011E-4674-8224-470123006CB7}"/>
    <cellStyle name="Comma 17 2 2 7" xfId="1782" xr:uid="{4D03B865-C3E8-4E7F-AD58-8CC875B57829}"/>
    <cellStyle name="Comma 17 2 3" xfId="112" xr:uid="{8E2C7F0B-BC37-4879-B250-0E68533242B4}"/>
    <cellStyle name="Comma 17 2 3 2" xfId="886" xr:uid="{710C77B3-664A-487F-9322-A51FA3DDDF74}"/>
    <cellStyle name="Comma 17 2 3 2 2" xfId="2484" xr:uid="{ECF4A15F-8FDA-42A8-AE6E-B2528916630D}"/>
    <cellStyle name="Comma 17 2 3 3" xfId="1076" xr:uid="{26A8CD97-B251-416A-AE9F-03009FDE6B1F}"/>
    <cellStyle name="Comma 17 2 3 3 2" xfId="2674" xr:uid="{D3F1BB97-A1C8-417D-8538-7E22890BEE38}"/>
    <cellStyle name="Comma 17 2 3 4" xfId="1267" xr:uid="{3660F591-DFCC-4AC5-A3CE-9B4119A4672B}"/>
    <cellStyle name="Comma 17 2 3 4 2" xfId="2864" xr:uid="{9BEDE28C-BF13-4DAE-BFD5-BA1316B7F4D7}"/>
    <cellStyle name="Comma 17 2 3 5" xfId="1975" xr:uid="{98F2A8DE-C408-4A33-98E2-6F87CC7940B1}"/>
    <cellStyle name="Comma 17 2 3 6" xfId="1784" xr:uid="{07C573D0-DE84-4BD0-AFAB-B9B00EC285CA}"/>
    <cellStyle name="Comma 17 2 4" xfId="883" xr:uid="{75AEB5D7-AC27-46F0-8C92-F493E4FB2A34}"/>
    <cellStyle name="Comma 17 2 4 2" xfId="2481" xr:uid="{C953AEF6-0B7E-4ACB-97FE-67B385419462}"/>
    <cellStyle name="Comma 17 2 5" xfId="1073" xr:uid="{EF2EC999-0EE1-45F0-96D7-1340EB23003C}"/>
    <cellStyle name="Comma 17 2 5 2" xfId="2671" xr:uid="{F37BC9A7-7C8E-4F67-8920-89A7924C9A42}"/>
    <cellStyle name="Comma 17 2 6" xfId="1264" xr:uid="{E7986779-6F07-4E97-A165-D64E964E6DB1}"/>
    <cellStyle name="Comma 17 2 6 2" xfId="2861" xr:uid="{673AA0DC-CD92-4D28-8CE9-69FF13C9EDCD}"/>
    <cellStyle name="Comma 17 2 7" xfId="1972" xr:uid="{4175942F-255B-498D-9A9C-E787418559CC}"/>
    <cellStyle name="Comma 17 2 8" xfId="1781" xr:uid="{4C61C89C-84C2-4EE7-AFC6-9FA4F6118F3D}"/>
    <cellStyle name="Comma 17 3" xfId="113" xr:uid="{234662FF-50D8-461D-9BCA-E555B88841C3}"/>
    <cellStyle name="Comma 17 3 2" xfId="114" xr:uid="{6717EFAE-0308-4D94-8B5B-4E49013BF455}"/>
    <cellStyle name="Comma 17 3 2 2" xfId="888" xr:uid="{EBCF03D2-8089-491A-99B2-EDAF692BA0DE}"/>
    <cellStyle name="Comma 17 3 2 2 2" xfId="2486" xr:uid="{0B541FB1-1AB0-4972-B234-A4844162D7C1}"/>
    <cellStyle name="Comma 17 3 2 3" xfId="1078" xr:uid="{5BFBD0C8-349C-4B48-8F71-E42AEF53FBF4}"/>
    <cellStyle name="Comma 17 3 2 3 2" xfId="2676" xr:uid="{DA8FF530-030F-482E-9883-B798E12BFEF4}"/>
    <cellStyle name="Comma 17 3 2 4" xfId="1269" xr:uid="{CFEA142B-67A4-4BC9-86BA-B3BCB960C0DF}"/>
    <cellStyle name="Comma 17 3 2 4 2" xfId="2866" xr:uid="{1FCC1304-5407-4E2D-91DE-CB02C445ED53}"/>
    <cellStyle name="Comma 17 3 2 5" xfId="1977" xr:uid="{C43405A3-4BAF-49F4-A4AE-385E7E58E658}"/>
    <cellStyle name="Comma 17 3 2 6" xfId="1786" xr:uid="{FBA78C83-B269-44F4-83E0-DDADFF94E975}"/>
    <cellStyle name="Comma 17 3 3" xfId="887" xr:uid="{E19F036E-0AB8-4C6B-A456-56DBE4F939DB}"/>
    <cellStyle name="Comma 17 3 3 2" xfId="2485" xr:uid="{4EBF1E80-92E4-4029-BAD5-497D0DC91BDF}"/>
    <cellStyle name="Comma 17 3 4" xfId="1077" xr:uid="{6E8CCFC3-CF43-4CBB-8F90-424FEB27B1A1}"/>
    <cellStyle name="Comma 17 3 4 2" xfId="2675" xr:uid="{90B54ED4-5AF9-46B2-9B66-EA6E91B45511}"/>
    <cellStyle name="Comma 17 3 5" xfId="1268" xr:uid="{E3DC49EF-EFB4-4364-9EBC-01AE9247BD8F}"/>
    <cellStyle name="Comma 17 3 5 2" xfId="2865" xr:uid="{A4A0A5AB-6ADD-4C24-91C3-375C6C04D092}"/>
    <cellStyle name="Comma 17 3 6" xfId="1976" xr:uid="{C0206118-FCEE-4745-A58B-23E8EC408E86}"/>
    <cellStyle name="Comma 17 3 7" xfId="1785" xr:uid="{02A72322-18B5-4EF0-A86C-7EAC1272143A}"/>
    <cellStyle name="Comma 17 4" xfId="115" xr:uid="{BFE7AA1C-4B90-4575-A197-76453E34C0BC}"/>
    <cellStyle name="Comma 17 4 2" xfId="889" xr:uid="{C3EE4204-E2A2-4734-9981-A154BF00A624}"/>
    <cellStyle name="Comma 17 4 2 2" xfId="2487" xr:uid="{D2935E87-3D54-4EFC-8F2B-FE3CEAF89EA2}"/>
    <cellStyle name="Comma 17 4 3" xfId="1079" xr:uid="{170E2C99-663F-4146-BD56-82F085183AFC}"/>
    <cellStyle name="Comma 17 4 3 2" xfId="2677" xr:uid="{34E8B0B3-E04A-45A4-8707-2A975DB01702}"/>
    <cellStyle name="Comma 17 4 4" xfId="1270" xr:uid="{2F7A0E34-3062-4EAA-AFBB-D8D1DFE1B5D4}"/>
    <cellStyle name="Comma 17 4 4 2" xfId="2867" xr:uid="{6D1B3C17-088A-4838-8561-D0D27BA8FC12}"/>
    <cellStyle name="Comma 17 4 5" xfId="1978" xr:uid="{78B20085-D3EC-429A-AE13-2EE09F5B320D}"/>
    <cellStyle name="Comma 17 4 6" xfId="1787" xr:uid="{4EFFAF84-96BD-485B-A954-6238E1CA7C73}"/>
    <cellStyle name="Comma 17 5" xfId="882" xr:uid="{4CEB4682-C1C5-40B3-8D3F-8FA171B6B7F4}"/>
    <cellStyle name="Comma 17 5 2" xfId="2480" xr:uid="{7CE05F2F-6172-418A-B282-4E915CD001D0}"/>
    <cellStyle name="Comma 17 6" xfId="1072" xr:uid="{DA3173D6-6942-411B-9212-8F6DE3EC7114}"/>
    <cellStyle name="Comma 17 6 2" xfId="2670" xr:uid="{4727BFD7-3F50-4E5F-A312-EB71B8FD2689}"/>
    <cellStyle name="Comma 17 7" xfId="1263" xr:uid="{5402D273-AF40-4616-9157-F2FDAD5598F8}"/>
    <cellStyle name="Comma 17 7 2" xfId="2860" xr:uid="{5610BE3B-EA4B-49C2-947E-824544D4244E}"/>
    <cellStyle name="Comma 17 8" xfId="1971" xr:uid="{05F60505-EED3-4DAA-9987-CC5B71977180}"/>
    <cellStyle name="Comma 17 9" xfId="1780" xr:uid="{6AF77FBC-11CF-451A-92EE-B35F85223596}"/>
    <cellStyle name="Comma 18" xfId="116" xr:uid="{6D9F25A0-6C9F-432C-9366-CBDEDB6FD7C5}"/>
    <cellStyle name="Comma 18 2" xfId="117" xr:uid="{FF3BFFD2-0186-4D35-A5BF-4D7D8F860F9F}"/>
    <cellStyle name="Comma 18 2 2" xfId="118" xr:uid="{50874827-2F32-4753-AE04-6258CB990FE1}"/>
    <cellStyle name="Comma 18 2 2 2" xfId="119" xr:uid="{306D662B-071E-4197-A981-91588DCC23E5}"/>
    <cellStyle name="Comma 18 2 2 2 2" xfId="893" xr:uid="{8A3948A2-F786-4F0D-AA2D-CE70F6E8BBCC}"/>
    <cellStyle name="Comma 18 2 2 2 2 2" xfId="2491" xr:uid="{AC6A4878-3A6F-4F0D-A286-A118C0D75F2F}"/>
    <cellStyle name="Comma 18 2 2 2 3" xfId="1083" xr:uid="{CFE26E79-8FCD-45E8-9776-D19BA5314430}"/>
    <cellStyle name="Comma 18 2 2 2 3 2" xfId="2681" xr:uid="{B8E5DD2B-C8CC-4E10-BCB5-D21A4328DC84}"/>
    <cellStyle name="Comma 18 2 2 2 4" xfId="1274" xr:uid="{772A4E61-533F-420E-A36F-0453C6F8B7CA}"/>
    <cellStyle name="Comma 18 2 2 2 4 2" xfId="2871" xr:uid="{A8CE9306-9F80-4EF3-877D-33737E76107C}"/>
    <cellStyle name="Comma 18 2 2 2 5" xfId="1982" xr:uid="{90FC2AC1-4322-4656-8CEF-FFF3F2408AC4}"/>
    <cellStyle name="Comma 18 2 2 2 6" xfId="1791" xr:uid="{D869ABBF-2B7D-4AD8-B6E6-927BE4AF1562}"/>
    <cellStyle name="Comma 18 2 2 3" xfId="892" xr:uid="{6C705D97-B538-41DB-B78C-9713A4FE0715}"/>
    <cellStyle name="Comma 18 2 2 3 2" xfId="2490" xr:uid="{CCFE6E68-572E-4CFD-8BB4-0FBC02D0861B}"/>
    <cellStyle name="Comma 18 2 2 4" xfId="1082" xr:uid="{0FC2FEF6-4FDE-4C2B-B1F9-DA429652CE00}"/>
    <cellStyle name="Comma 18 2 2 4 2" xfId="2680" xr:uid="{A1BA39DE-CE51-4E94-9A58-036C0F91C2C4}"/>
    <cellStyle name="Comma 18 2 2 5" xfId="1273" xr:uid="{5D9E2F92-5E48-40B4-B50B-C1037A9B81FD}"/>
    <cellStyle name="Comma 18 2 2 5 2" xfId="2870" xr:uid="{1B4A9DDF-8A0F-4180-8890-50AC34D40BA2}"/>
    <cellStyle name="Comma 18 2 2 6" xfId="1981" xr:uid="{C7C0ECFA-3FDB-43F4-812A-C155B8C04C8A}"/>
    <cellStyle name="Comma 18 2 2 7" xfId="1790" xr:uid="{31265160-D5DD-4A4A-9C16-D16A6F9680BB}"/>
    <cellStyle name="Comma 18 2 3" xfId="120" xr:uid="{8A68F401-8D70-49D3-A859-6ECB7BEC2297}"/>
    <cellStyle name="Comma 18 2 3 2" xfId="894" xr:uid="{AB993120-4C80-45BE-AD0E-F975B272CC71}"/>
    <cellStyle name="Comma 18 2 3 2 2" xfId="2492" xr:uid="{C2E58D42-F94D-494C-9038-3CA0AB79A0ED}"/>
    <cellStyle name="Comma 18 2 3 3" xfId="1084" xr:uid="{3F5CBE8C-2F74-4CAC-8240-C54DC9829563}"/>
    <cellStyle name="Comma 18 2 3 3 2" xfId="2682" xr:uid="{8D38756E-179E-4A4F-8830-79202CB209A0}"/>
    <cellStyle name="Comma 18 2 3 4" xfId="1275" xr:uid="{30350CFA-2392-4EAE-9664-4769191C7F1A}"/>
    <cellStyle name="Comma 18 2 3 4 2" xfId="2872" xr:uid="{0EB6BA94-E6A8-44BB-8D4A-231C8FC28BBD}"/>
    <cellStyle name="Comma 18 2 3 5" xfId="1983" xr:uid="{A4EFB870-C484-4EB5-9391-093A0E7BA424}"/>
    <cellStyle name="Comma 18 2 3 6" xfId="1792" xr:uid="{3A29DB67-DB55-4949-878A-0B2EBA2F89A0}"/>
    <cellStyle name="Comma 18 2 4" xfId="891" xr:uid="{05106D8D-337F-4A8C-A4F7-34B34D5D8FB8}"/>
    <cellStyle name="Comma 18 2 4 2" xfId="2489" xr:uid="{CD1E15ED-F262-4E8D-840B-9B8043C066F6}"/>
    <cellStyle name="Comma 18 2 5" xfId="1081" xr:uid="{E1CB09C1-95DC-4961-AA61-D0F07D944D5A}"/>
    <cellStyle name="Comma 18 2 5 2" xfId="2679" xr:uid="{90BDBBDD-8FCB-47FA-8631-3C8CB35BE8E4}"/>
    <cellStyle name="Comma 18 2 6" xfId="1272" xr:uid="{D1D5655D-B9D5-4745-BDA4-B493EA1A8260}"/>
    <cellStyle name="Comma 18 2 6 2" xfId="2869" xr:uid="{8790F736-2A71-4338-AD8E-03B1826BF3B2}"/>
    <cellStyle name="Comma 18 2 7" xfId="1980" xr:uid="{1EFFD735-614A-41A3-998D-37BAE4CD3BD8}"/>
    <cellStyle name="Comma 18 2 8" xfId="1789" xr:uid="{CB625B78-2001-4428-9E24-811C8B6937E5}"/>
    <cellStyle name="Comma 18 3" xfId="121" xr:uid="{30DC2B4A-667D-492D-A467-EEC6EC34018B}"/>
    <cellStyle name="Comma 18 3 2" xfId="122" xr:uid="{33745CB0-C39D-4A3D-87E0-FDB0A9147597}"/>
    <cellStyle name="Comma 18 3 2 2" xfId="896" xr:uid="{87E87B9F-1A5D-4363-890B-D87447D68DC1}"/>
    <cellStyle name="Comma 18 3 2 2 2" xfId="2494" xr:uid="{B9996C52-792A-463C-AB5D-A308A75D9C62}"/>
    <cellStyle name="Comma 18 3 2 3" xfId="1086" xr:uid="{758FF41A-D822-4EF9-B2FC-7BA480083A64}"/>
    <cellStyle name="Comma 18 3 2 3 2" xfId="2684" xr:uid="{9E33DF88-7E71-4D8F-BAA0-A0A946CCDA35}"/>
    <cellStyle name="Comma 18 3 2 4" xfId="1277" xr:uid="{F17133AA-3385-497C-8DBB-6CAF9579A3D6}"/>
    <cellStyle name="Comma 18 3 2 4 2" xfId="2874" xr:uid="{FE6F3651-033C-4DE9-8FA7-B8D9E62698AA}"/>
    <cellStyle name="Comma 18 3 2 5" xfId="1985" xr:uid="{9FB1D16D-47D2-44C6-AC98-11179898C4FA}"/>
    <cellStyle name="Comma 18 3 2 6" xfId="1794" xr:uid="{20916C1E-90E4-4B2F-9329-D1C2AB1C9A40}"/>
    <cellStyle name="Comma 18 3 3" xfId="895" xr:uid="{10C46DF7-E02D-4CBF-8917-515764DDF19A}"/>
    <cellStyle name="Comma 18 3 3 2" xfId="2493" xr:uid="{859F180B-A835-446C-BA80-BB7D20A63BD1}"/>
    <cellStyle name="Comma 18 3 4" xfId="1085" xr:uid="{36ADA3FA-8B14-4040-B47D-2A741EAE2325}"/>
    <cellStyle name="Comma 18 3 4 2" xfId="2683" xr:uid="{15CA6FAB-3934-4A62-9167-77AC80E143EC}"/>
    <cellStyle name="Comma 18 3 5" xfId="1276" xr:uid="{3968F450-54B0-456B-856C-396BE17C91D7}"/>
    <cellStyle name="Comma 18 3 5 2" xfId="2873" xr:uid="{9AC33635-B42C-48A8-B664-492D2A06607B}"/>
    <cellStyle name="Comma 18 3 6" xfId="1984" xr:uid="{BE79CDAB-6843-4D22-B4AF-3B1C70A1D946}"/>
    <cellStyle name="Comma 18 3 7" xfId="1793" xr:uid="{822281D5-60D3-426C-BEDE-FDF3D14C1501}"/>
    <cellStyle name="Comma 18 4" xfId="123" xr:uid="{D55F3857-372B-4111-BD38-D5CB72ECE327}"/>
    <cellStyle name="Comma 18 4 2" xfId="897" xr:uid="{B6E9B292-3F5A-4FCF-ABD7-F1D9547EF629}"/>
    <cellStyle name="Comma 18 4 2 2" xfId="2495" xr:uid="{62B4A4B4-355F-40FF-9726-ED9AA093A315}"/>
    <cellStyle name="Comma 18 4 3" xfId="1087" xr:uid="{0D648D02-ECB4-4D0A-B750-97A6C55E615F}"/>
    <cellStyle name="Comma 18 4 3 2" xfId="2685" xr:uid="{559F89D2-2D65-464C-B2CC-DF3623EB6123}"/>
    <cellStyle name="Comma 18 4 4" xfId="1278" xr:uid="{2A21041E-3C0A-48BD-BDA4-294E46F19130}"/>
    <cellStyle name="Comma 18 4 4 2" xfId="2875" xr:uid="{13A638DD-545D-416A-9AF5-86F1A5A5B9C8}"/>
    <cellStyle name="Comma 18 4 5" xfId="1986" xr:uid="{07ADFF5A-AA58-45D8-B715-4DF4081B0E34}"/>
    <cellStyle name="Comma 18 4 6" xfId="1795" xr:uid="{A9E2B2BD-5C3D-4AD2-A557-C390F7C1F7BC}"/>
    <cellStyle name="Comma 18 5" xfId="890" xr:uid="{B262C096-60EB-4931-9100-822D9E312850}"/>
    <cellStyle name="Comma 18 5 2" xfId="2488" xr:uid="{8A07F0F1-22A7-481B-A8F5-2630BD2963DA}"/>
    <cellStyle name="Comma 18 6" xfId="1080" xr:uid="{298D2641-D3B1-4317-B7AF-2790BF37412E}"/>
    <cellStyle name="Comma 18 6 2" xfId="2678" xr:uid="{4E1B9012-09AC-4CC5-8F4B-0BC89B846206}"/>
    <cellStyle name="Comma 18 7" xfId="1271" xr:uid="{5DCE4A46-D8D2-4F73-8192-CF9EE165ADF9}"/>
    <cellStyle name="Comma 18 7 2" xfId="2868" xr:uid="{702F882A-7FBF-403E-B8FD-3DC581C147AA}"/>
    <cellStyle name="Comma 18 8" xfId="1979" xr:uid="{DDD041A1-503B-45EE-B712-16DD41ACE4FE}"/>
    <cellStyle name="Comma 18 9" xfId="1788" xr:uid="{B8B37962-F456-4121-909F-76DD4BECC2B7}"/>
    <cellStyle name="Comma 19" xfId="124" xr:uid="{271FCDD1-9898-44F1-99D2-889037B02F16}"/>
    <cellStyle name="Comma 19 2" xfId="125" xr:uid="{98092B16-5F50-45D8-A042-EF8385C3028E}"/>
    <cellStyle name="Comma 19 2 2" xfId="126" xr:uid="{0925B115-1C0A-4A4C-9684-97F05D914BB8}"/>
    <cellStyle name="Comma 19 2 2 2" xfId="900" xr:uid="{4CEEFC96-F870-4432-9A37-53E47B9C6E40}"/>
    <cellStyle name="Comma 19 2 2 2 2" xfId="2498" xr:uid="{CED2E968-6C9E-4F86-9D9B-1506CBAAF287}"/>
    <cellStyle name="Comma 19 2 2 3" xfId="1090" xr:uid="{7FDFF7DD-D4E8-4EF1-9652-4FED0918EAE7}"/>
    <cellStyle name="Comma 19 2 2 3 2" xfId="2688" xr:uid="{87FF047B-F979-47F7-B795-8D42A81AF16E}"/>
    <cellStyle name="Comma 19 2 2 4" xfId="1281" xr:uid="{A2CCACC4-FC08-4BA9-B688-C5E0183E1C89}"/>
    <cellStyle name="Comma 19 2 2 4 2" xfId="2878" xr:uid="{B264E6CB-7428-4D50-AA0D-8A1689363B48}"/>
    <cellStyle name="Comma 19 2 2 5" xfId="1989" xr:uid="{683A9557-2EDB-401A-9974-9FC652D29C58}"/>
    <cellStyle name="Comma 19 2 2 6" xfId="1798" xr:uid="{240FD085-6158-49AD-BB4A-E32BBA3DF67A}"/>
    <cellStyle name="Comma 19 2 3" xfId="899" xr:uid="{63C4FCCC-2863-4D8B-825F-6329914D1E04}"/>
    <cellStyle name="Comma 19 2 3 2" xfId="2497" xr:uid="{2559EC92-0C78-49EC-BEAB-E48160249916}"/>
    <cellStyle name="Comma 19 2 4" xfId="1089" xr:uid="{2EB767F9-803F-44CA-982E-8A1B6705C63B}"/>
    <cellStyle name="Comma 19 2 4 2" xfId="2687" xr:uid="{6FA959C4-4A96-4DE9-8234-EAB8B3F41841}"/>
    <cellStyle name="Comma 19 2 5" xfId="1280" xr:uid="{83C5E818-6D21-48BA-B876-F79AE8001338}"/>
    <cellStyle name="Comma 19 2 5 2" xfId="2877" xr:uid="{4C3BCDB1-9C82-4628-9809-E443C2D37B30}"/>
    <cellStyle name="Comma 19 2 6" xfId="1988" xr:uid="{DAFEF5B7-2AC6-4FDA-B651-0AFA3796DFF3}"/>
    <cellStyle name="Comma 19 2 7" xfId="1797" xr:uid="{411D2A68-1363-49EB-9113-B5AF3687B046}"/>
    <cellStyle name="Comma 19 3" xfId="127" xr:uid="{E2592C07-4DD7-46FF-9FE8-DA1F58FE9BC9}"/>
    <cellStyle name="Comma 19 3 2" xfId="901" xr:uid="{3DB8083F-D24A-4DD7-954B-62B25AE38A80}"/>
    <cellStyle name="Comma 19 3 2 2" xfId="2499" xr:uid="{CEBFEF86-3F60-432F-B75B-8C7799ECDCF4}"/>
    <cellStyle name="Comma 19 3 3" xfId="1091" xr:uid="{D05BDA42-639B-43DB-860B-016F9307C587}"/>
    <cellStyle name="Comma 19 3 3 2" xfId="2689" xr:uid="{83217C9F-3822-432D-9EFC-7A8BB5B0118E}"/>
    <cellStyle name="Comma 19 3 4" xfId="1282" xr:uid="{21BC72DF-4F5D-4352-AE86-1BBABC54B6BE}"/>
    <cellStyle name="Comma 19 3 4 2" xfId="2879" xr:uid="{2E379A0F-720A-46F8-BF62-AB7DC6CBBA5C}"/>
    <cellStyle name="Comma 19 3 5" xfId="1990" xr:uid="{8A27722A-91BD-4C6D-9AE0-6A427722F02A}"/>
    <cellStyle name="Comma 19 3 6" xfId="1799" xr:uid="{C0AF5482-CE02-4A63-9CA6-7F1B44CCF42B}"/>
    <cellStyle name="Comma 19 4" xfId="898" xr:uid="{AB98FFAA-D642-4E21-AA87-7FDA9E61D8E5}"/>
    <cellStyle name="Comma 19 4 2" xfId="2496" xr:uid="{64151FC4-8D3F-45A5-B068-27055F4104F1}"/>
    <cellStyle name="Comma 19 5" xfId="1088" xr:uid="{FA601B29-CBAA-48FB-8E5B-3EB254437547}"/>
    <cellStyle name="Comma 19 5 2" xfId="2686" xr:uid="{45CA3608-03F5-413B-87C3-D9B9372F8604}"/>
    <cellStyle name="Comma 19 6" xfId="1279" xr:uid="{2C6FD205-F3B6-44BE-A159-EC3A91B6B3E7}"/>
    <cellStyle name="Comma 19 6 2" xfId="2876" xr:uid="{853694F6-4E66-4CF0-B515-5CF4AED4C7B1}"/>
    <cellStyle name="Comma 19 7" xfId="1987" xr:uid="{F00FFB68-A64E-4E3A-8E94-8CFA7FF1E620}"/>
    <cellStyle name="Comma 19 8" xfId="1796" xr:uid="{893A3D66-6C77-4A01-A3E6-51199D5E883F}"/>
    <cellStyle name="Comma 2" xfId="3" xr:uid="{77A4A2DC-62E3-41A0-B49E-C1BDB1522308}"/>
    <cellStyle name="Comma 2 10" xfId="1204" xr:uid="{B1140CB8-127C-4260-8953-40B595D35A14}"/>
    <cellStyle name="Comma 2 10 2" xfId="2801" xr:uid="{94120B76-8402-44FE-B567-B9F5FC75C136}"/>
    <cellStyle name="Comma 2 11" xfId="1716" xr:uid="{7E81008F-ED66-4AD0-829D-CE41FE4494FF}"/>
    <cellStyle name="Comma 2 11 2" xfId="2995" xr:uid="{1D0ECF05-09D7-44F0-9067-F6DFBB907C76}"/>
    <cellStyle name="Comma 2 12" xfId="1912" xr:uid="{2563BFF5-81A0-47FF-80B1-48D53B756F15}"/>
    <cellStyle name="Comma 2 13" xfId="1721" xr:uid="{337D56AE-77E0-4CB4-84CC-481E56455D44}"/>
    <cellStyle name="Comma 2 2" xfId="129" xr:uid="{0535199B-1EED-41EE-84A5-148BA3CDC5C6}"/>
    <cellStyle name="Comma 2 2 2" xfId="130" xr:uid="{C2731A52-A9F3-481D-9A80-56E662528BC6}"/>
    <cellStyle name="Comma 2 2 2 2" xfId="131" xr:uid="{55A59F82-7A6F-4061-8E63-CB5CFA59B6F4}"/>
    <cellStyle name="Comma 2 2 2 2 2" xfId="132" xr:uid="{876E9C43-191D-494B-B264-BF889A0C47DE}"/>
    <cellStyle name="Comma 2 2 2 2 2 2" xfId="906" xr:uid="{9F2C7C63-C1E4-4144-A5AE-6D102AB6F87D}"/>
    <cellStyle name="Comma 2 2 2 2 2 2 2" xfId="2504" xr:uid="{CB6306C0-154E-4608-9582-824671B3F97A}"/>
    <cellStyle name="Comma 2 2 2 2 2 3" xfId="1096" xr:uid="{F18A83F3-7F53-4969-97F6-B3C7542D0546}"/>
    <cellStyle name="Comma 2 2 2 2 2 3 2" xfId="2694" xr:uid="{4CA8BEE4-7722-4C05-8352-F4908F83E700}"/>
    <cellStyle name="Comma 2 2 2 2 2 4" xfId="1287" xr:uid="{07648D4C-519D-45B3-9465-FCD74A097E9A}"/>
    <cellStyle name="Comma 2 2 2 2 2 4 2" xfId="2884" xr:uid="{1AAE5445-5A2C-4912-AC36-963D939877CA}"/>
    <cellStyle name="Comma 2 2 2 2 2 5" xfId="1995" xr:uid="{E0524F3D-C945-4BE2-B870-2C10991F248F}"/>
    <cellStyle name="Comma 2 2 2 2 2 6" xfId="1804" xr:uid="{DFA4DBE0-9B43-4F75-A56C-7B934361F487}"/>
    <cellStyle name="Comma 2 2 2 2 3" xfId="905" xr:uid="{B3F33DC9-BA7E-4E8D-B6D4-783B7073275E}"/>
    <cellStyle name="Comma 2 2 2 2 3 2" xfId="2503" xr:uid="{54C4FD5B-EE96-4570-9B62-D878C50133E5}"/>
    <cellStyle name="Comma 2 2 2 2 4" xfId="1095" xr:uid="{7AB97630-0BD8-4938-8690-2D5069D3FB04}"/>
    <cellStyle name="Comma 2 2 2 2 4 2" xfId="2693" xr:uid="{2577E60C-7E7B-4C65-9EAA-84232E89A516}"/>
    <cellStyle name="Comma 2 2 2 2 5" xfId="1286" xr:uid="{CFF7F344-66E4-4C6D-9B56-8C098AE95805}"/>
    <cellStyle name="Comma 2 2 2 2 5 2" xfId="2883" xr:uid="{DD33AD5A-4BFB-4CDE-B739-B6F51CB5F11F}"/>
    <cellStyle name="Comma 2 2 2 2 6" xfId="1994" xr:uid="{ADC0FF73-6CE3-466F-ACE5-AD849A331507}"/>
    <cellStyle name="Comma 2 2 2 2 7" xfId="1803" xr:uid="{9541414A-6399-4600-B1A2-B3CECB74ECCF}"/>
    <cellStyle name="Comma 2 2 2 3" xfId="133" xr:uid="{ABC7DA15-867B-44A1-9988-ACF51E2D9822}"/>
    <cellStyle name="Comma 2 2 2 3 2" xfId="907" xr:uid="{CB256511-473B-4607-9B40-E56E482143A2}"/>
    <cellStyle name="Comma 2 2 2 3 2 2" xfId="2505" xr:uid="{E64F46DC-D6C4-4B36-9B41-59AFEA7742B1}"/>
    <cellStyle name="Comma 2 2 2 3 3" xfId="1097" xr:uid="{7E23AC1B-A9AA-450A-9DFD-0870F723F008}"/>
    <cellStyle name="Comma 2 2 2 3 3 2" xfId="2695" xr:uid="{29F7640C-97B1-4C31-82BB-730D566A5117}"/>
    <cellStyle name="Comma 2 2 2 3 4" xfId="1288" xr:uid="{F9FC4299-D97D-4FFC-9E0B-0994B78949D3}"/>
    <cellStyle name="Comma 2 2 2 3 4 2" xfId="2885" xr:uid="{B76DAC8D-CFCD-4DF4-9727-15D50E264327}"/>
    <cellStyle name="Comma 2 2 2 3 5" xfId="1996" xr:uid="{074618A9-0E0B-4A60-B909-A3A2641FBDA2}"/>
    <cellStyle name="Comma 2 2 2 3 6" xfId="1805" xr:uid="{38729B43-B824-4804-92B1-116767C4D699}"/>
    <cellStyle name="Comma 2 2 2 4" xfId="904" xr:uid="{98E65FB2-9639-42D0-BD07-87DB7E03FF98}"/>
    <cellStyle name="Comma 2 2 2 4 2" xfId="2502" xr:uid="{29F1F41B-30B9-4BA1-AA57-98E4FABD0CFE}"/>
    <cellStyle name="Comma 2 2 2 5" xfId="1094" xr:uid="{45086395-1C4D-4E29-ABD9-A1D158E45B62}"/>
    <cellStyle name="Comma 2 2 2 5 2" xfId="2692" xr:uid="{FC9CD75D-9745-4A4F-BD45-41C23E73FABE}"/>
    <cellStyle name="Comma 2 2 2 6" xfId="1285" xr:uid="{94956825-BBE4-460D-AD83-5B651E4F5803}"/>
    <cellStyle name="Comma 2 2 2 6 2" xfId="2882" xr:uid="{ED558CDA-9BAF-43BD-BD5B-4F6C973C5BE0}"/>
    <cellStyle name="Comma 2 2 2 7" xfId="1993" xr:uid="{CD310D50-D0A8-4EB1-9CF8-BCF18E1A9A1C}"/>
    <cellStyle name="Comma 2 2 2 8" xfId="1802" xr:uid="{5E828BEA-8F9A-46CA-8AB2-A863E24D86C2}"/>
    <cellStyle name="Comma 2 2 3" xfId="134" xr:uid="{DE138A8E-0AF8-4432-8918-FEE8FDCCBC14}"/>
    <cellStyle name="Comma 2 2 3 2" xfId="135" xr:uid="{5D530454-03FF-4354-8EEE-29ABE401A198}"/>
    <cellStyle name="Comma 2 2 3 2 2" xfId="909" xr:uid="{38E5FF75-9E79-41B3-8A2A-6D769CD839B7}"/>
    <cellStyle name="Comma 2 2 3 2 2 2" xfId="2507" xr:uid="{AF437738-C09A-4E1D-8BB7-0F44AA8B3FE2}"/>
    <cellStyle name="Comma 2 2 3 2 3" xfId="1099" xr:uid="{913CC25E-72D5-4233-BD4B-6BB33105903E}"/>
    <cellStyle name="Comma 2 2 3 2 3 2" xfId="2697" xr:uid="{89F44201-713B-4A03-8251-052AD9C60174}"/>
    <cellStyle name="Comma 2 2 3 2 4" xfId="1290" xr:uid="{A35D6979-68D5-4352-9DCB-4CC0F0B83459}"/>
    <cellStyle name="Comma 2 2 3 2 4 2" xfId="2887" xr:uid="{596DA0C9-2B90-4456-ABBD-6BF89397EC40}"/>
    <cellStyle name="Comma 2 2 3 2 5" xfId="1998" xr:uid="{72EEF6F5-D04E-4628-A035-1E41F3CCE656}"/>
    <cellStyle name="Comma 2 2 3 2 6" xfId="1807" xr:uid="{1BC12266-C7DD-42ED-B21A-88F7D2AD8F43}"/>
    <cellStyle name="Comma 2 2 3 3" xfId="908" xr:uid="{FA0B3DDF-6287-4DE7-ABF0-523C3BFE12DC}"/>
    <cellStyle name="Comma 2 2 3 3 2" xfId="2506" xr:uid="{90FADA01-B7C3-46EC-A18A-79F4E82A8E06}"/>
    <cellStyle name="Comma 2 2 3 4" xfId="1098" xr:uid="{6E08A5B5-1CB7-46FD-ADDA-128361996AA8}"/>
    <cellStyle name="Comma 2 2 3 4 2" xfId="2696" xr:uid="{AC9FB40C-40D4-42FE-902E-9883006CEC7E}"/>
    <cellStyle name="Comma 2 2 3 5" xfId="1289" xr:uid="{BE921B3A-594D-443D-8959-8058E8ACE481}"/>
    <cellStyle name="Comma 2 2 3 5 2" xfId="2886" xr:uid="{5B97130F-FB53-4A6F-AA0E-93257D83D890}"/>
    <cellStyle name="Comma 2 2 3 6" xfId="1997" xr:uid="{2B82E6F0-6B7D-4117-8D5D-B9EC23B80A13}"/>
    <cellStyle name="Comma 2 2 3 7" xfId="1806" xr:uid="{9651BE84-C66C-4C55-A346-5DBC722E3D22}"/>
    <cellStyle name="Comma 2 2 4" xfId="136" xr:uid="{00F9DB3F-C17B-49F9-9C3E-3231ECD50D79}"/>
    <cellStyle name="Comma 2 2 4 2" xfId="910" xr:uid="{70CAE518-D092-4854-A71A-F122920B4A7B}"/>
    <cellStyle name="Comma 2 2 4 2 2" xfId="2508" xr:uid="{8E01ED6A-6580-41C8-AAAB-DD6D1A82DE06}"/>
    <cellStyle name="Comma 2 2 4 3" xfId="1100" xr:uid="{65966E9E-6061-4FD4-8571-493CC3E43D8F}"/>
    <cellStyle name="Comma 2 2 4 3 2" xfId="2698" xr:uid="{DA8A52C5-4C42-494D-9DCA-F810DD33753B}"/>
    <cellStyle name="Comma 2 2 4 4" xfId="1291" xr:uid="{A1943871-4E2C-4B0D-BCB0-60CD97D1093A}"/>
    <cellStyle name="Comma 2 2 4 4 2" xfId="2888" xr:uid="{B0581A74-B6BC-4AFA-98BE-A7E6688B8B81}"/>
    <cellStyle name="Comma 2 2 4 5" xfId="1999" xr:uid="{199A4561-D228-4D7A-B1C9-BB3DDF0D1DE2}"/>
    <cellStyle name="Comma 2 2 4 6" xfId="1808" xr:uid="{9583E652-30E5-4251-A775-E34D22F17E4E}"/>
    <cellStyle name="Comma 2 2 5" xfId="903" xr:uid="{F6315012-49E2-4E1B-8723-CB45260371C6}"/>
    <cellStyle name="Comma 2 2 5 2" xfId="2501" xr:uid="{EF7743FD-561E-46EC-A058-380FB2DA79C4}"/>
    <cellStyle name="Comma 2 2 6" xfId="1093" xr:uid="{813BBF86-9BA4-494E-A9F3-6E2C39139DE6}"/>
    <cellStyle name="Comma 2 2 6 2" xfId="2691" xr:uid="{00006CBA-7B4F-411C-A811-A201ED9363CA}"/>
    <cellStyle name="Comma 2 2 7" xfId="1284" xr:uid="{538C2B0B-D351-4891-89D7-60B5ACAE3B78}"/>
    <cellStyle name="Comma 2 2 7 2" xfId="2881" xr:uid="{E30CE43F-B4D7-4F99-8B31-F5B24DE10FC1}"/>
    <cellStyle name="Comma 2 2 8" xfId="1992" xr:uid="{94348578-31D8-4285-B3EE-DB155DA1C3D8}"/>
    <cellStyle name="Comma 2 2 9" xfId="1801" xr:uid="{80774419-BE1E-4C43-9A23-151D696CC4DB}"/>
    <cellStyle name="Comma 2 3" xfId="137" xr:uid="{FA0CC0C3-C164-4197-80F9-858275194B14}"/>
    <cellStyle name="Comma 2 3 2" xfId="138" xr:uid="{53C75F22-5C50-4328-8973-F03540BFC3F6}"/>
    <cellStyle name="Comma 2 3 2 2" xfId="139" xr:uid="{3F8D1DB2-7608-49F6-BD7B-8E144BA7490A}"/>
    <cellStyle name="Comma 2 3 2 2 2" xfId="913" xr:uid="{CBE2A147-D248-4E44-8944-A5D6EB3AF480}"/>
    <cellStyle name="Comma 2 3 2 2 2 2" xfId="2511" xr:uid="{3031BE18-7D67-48E4-839F-F74072F22E6D}"/>
    <cellStyle name="Comma 2 3 2 2 3" xfId="1103" xr:uid="{71BEB472-0B63-420D-BA80-410D34483D34}"/>
    <cellStyle name="Comma 2 3 2 2 3 2" xfId="2701" xr:uid="{FAA10B33-EE8F-4282-A01C-082B39EECAC7}"/>
    <cellStyle name="Comma 2 3 2 2 4" xfId="1294" xr:uid="{42E3E504-EB0F-4E4E-9399-20F8516BA28B}"/>
    <cellStyle name="Comma 2 3 2 2 4 2" xfId="2891" xr:uid="{58DB0095-CEC2-4074-B03D-382EB361B21A}"/>
    <cellStyle name="Comma 2 3 2 2 5" xfId="2002" xr:uid="{B451A236-A40F-4E62-A944-3B147243B809}"/>
    <cellStyle name="Comma 2 3 2 2 6" xfId="1811" xr:uid="{0279D5FF-0E56-4B2C-8CA5-7B4FD6F661A6}"/>
    <cellStyle name="Comma 2 3 2 3" xfId="912" xr:uid="{F0CBABD9-8CC8-4AF5-B842-6065B794791C}"/>
    <cellStyle name="Comma 2 3 2 3 2" xfId="2510" xr:uid="{EC627B6D-43EE-4BEC-A6F7-F8503C15581A}"/>
    <cellStyle name="Comma 2 3 2 4" xfId="1102" xr:uid="{697F3995-30E0-4A9F-B4E8-893AB141D517}"/>
    <cellStyle name="Comma 2 3 2 4 2" xfId="2700" xr:uid="{525AC144-0A4B-4CC6-85FF-9A620339F64C}"/>
    <cellStyle name="Comma 2 3 2 5" xfId="1293" xr:uid="{809DB2E7-1135-4BDA-B9A0-2D5877DC8488}"/>
    <cellStyle name="Comma 2 3 2 5 2" xfId="2890" xr:uid="{A5B57235-0DD7-4246-9972-7A96C3B27AD3}"/>
    <cellStyle name="Comma 2 3 2 6" xfId="2001" xr:uid="{F6C2B097-A89F-4D9D-8FF7-80A69390D786}"/>
    <cellStyle name="Comma 2 3 2 7" xfId="1810" xr:uid="{F8E1978B-D6DD-4673-9E19-90DB58110D39}"/>
    <cellStyle name="Comma 2 3 3" xfId="140" xr:uid="{4F3E11F4-85D3-426B-ADA2-6D89B1CC3445}"/>
    <cellStyle name="Comma 2 3 3 2" xfId="914" xr:uid="{2ED8D28E-B4DF-42A5-B119-6635C90ABAB2}"/>
    <cellStyle name="Comma 2 3 3 2 2" xfId="2512" xr:uid="{45B78CEB-D4AB-40B2-BDA7-7113F65F976B}"/>
    <cellStyle name="Comma 2 3 3 3" xfId="1104" xr:uid="{9EA8EA95-9867-480D-BDA1-CDF326E8616C}"/>
    <cellStyle name="Comma 2 3 3 3 2" xfId="2702" xr:uid="{C68661F6-C44E-4D1D-B4B6-E230DE1EB05F}"/>
    <cellStyle name="Comma 2 3 3 4" xfId="1295" xr:uid="{023BDC8E-4C2D-4A72-8F97-5192EA90C360}"/>
    <cellStyle name="Comma 2 3 3 4 2" xfId="2892" xr:uid="{598FA0FA-E5C2-4397-A381-BDF52DAB86A3}"/>
    <cellStyle name="Comma 2 3 3 5" xfId="2003" xr:uid="{366B916D-0911-42FA-AD0F-04632922FE28}"/>
    <cellStyle name="Comma 2 3 3 6" xfId="1812" xr:uid="{E84B26DB-5435-496A-83C9-279EA805535F}"/>
    <cellStyle name="Comma 2 3 4" xfId="911" xr:uid="{D1213162-307A-43B8-A92A-1ABC693ABB81}"/>
    <cellStyle name="Comma 2 3 4 2" xfId="2509" xr:uid="{60AC30CF-2B8C-4290-9FCC-CCEFF64C7F8F}"/>
    <cellStyle name="Comma 2 3 5" xfId="1101" xr:uid="{2FF653DD-8097-4C05-8522-D33282698586}"/>
    <cellStyle name="Comma 2 3 5 2" xfId="2699" xr:uid="{855BCE65-09E4-48B2-9334-C8DB3626F674}"/>
    <cellStyle name="Comma 2 3 6" xfId="1292" xr:uid="{9C030903-B41B-4ED4-B853-73847CF6F15A}"/>
    <cellStyle name="Comma 2 3 6 2" xfId="2889" xr:uid="{B0583833-CC35-45AF-B79E-04F251FC77F7}"/>
    <cellStyle name="Comma 2 3 7" xfId="2000" xr:uid="{DA1D844B-E80B-4CD6-AD07-A49DA9CC8B51}"/>
    <cellStyle name="Comma 2 3 8" xfId="1809" xr:uid="{241EE7FC-232F-462B-97FE-E098CFD07A2E}"/>
    <cellStyle name="Comma 2 4" xfId="141" xr:uid="{1F998332-DCCA-468A-A4AE-A276ADA77070}"/>
    <cellStyle name="Comma 2 4 2" xfId="142" xr:uid="{6F1A8EAF-A444-4247-9AC7-14FF5DF89779}"/>
    <cellStyle name="Comma 2 4 2 2" xfId="916" xr:uid="{C88DB4A8-CE2D-4728-85A6-3CE8A61126EB}"/>
    <cellStyle name="Comma 2 4 2 2 2" xfId="2514" xr:uid="{2CBCEC16-5A77-4688-A9F3-6F26F1BCCBAD}"/>
    <cellStyle name="Comma 2 4 2 3" xfId="1106" xr:uid="{B654D03F-3461-4576-9A00-B9EDCAECD7E3}"/>
    <cellStyle name="Comma 2 4 2 3 2" xfId="2704" xr:uid="{06BFA5C0-340B-48E2-AF80-ABEEAFC76F8E}"/>
    <cellStyle name="Comma 2 4 2 4" xfId="1297" xr:uid="{57DFE50D-8E99-4544-B964-7485153BFCE4}"/>
    <cellStyle name="Comma 2 4 2 4 2" xfId="2894" xr:uid="{450DE584-8818-4643-9002-BE1431870AE9}"/>
    <cellStyle name="Comma 2 4 2 5" xfId="2005" xr:uid="{53F7D684-339C-42A8-A1BC-9BD10053A689}"/>
    <cellStyle name="Comma 2 4 2 6" xfId="1814" xr:uid="{1A520E7B-E2A9-4AD7-AE26-3FD6A8C353E0}"/>
    <cellStyle name="Comma 2 4 3" xfId="915" xr:uid="{284EF4D5-88F5-4C3E-B57A-4DE27824F6A4}"/>
    <cellStyle name="Comma 2 4 3 2" xfId="2513" xr:uid="{D8074D94-F952-4E67-9FA7-FDB905628080}"/>
    <cellStyle name="Comma 2 4 4" xfId="1105" xr:uid="{4244AAF1-8E94-45A0-B144-638D166B8C85}"/>
    <cellStyle name="Comma 2 4 4 2" xfId="2703" xr:uid="{5699B20E-A0AE-46DB-8D0D-A3DB3409F5DD}"/>
    <cellStyle name="Comma 2 4 5" xfId="1296" xr:uid="{8C8BFA29-8DF0-4B87-89AF-3ED2798010A8}"/>
    <cellStyle name="Comma 2 4 5 2" xfId="2893" xr:uid="{6E0AE95A-8834-4D96-AD2A-10939521AA77}"/>
    <cellStyle name="Comma 2 4 6" xfId="2004" xr:uid="{4D6220B0-CD10-4E59-8815-C0136C98A1C1}"/>
    <cellStyle name="Comma 2 4 7" xfId="1813" xr:uid="{A3806BA0-DCF3-4690-84ED-5242B109CAAF}"/>
    <cellStyle name="Comma 2 5" xfId="143" xr:uid="{E1225323-2E7D-4682-A9BC-92839B846675}"/>
    <cellStyle name="Comma 2 5 2" xfId="917" xr:uid="{38CFEA82-F226-4165-99D3-C0A3680584BB}"/>
    <cellStyle name="Comma 2 5 2 2" xfId="2515" xr:uid="{449DAB65-F1F7-4AE5-B7A4-19A65EFA8DC2}"/>
    <cellStyle name="Comma 2 5 3" xfId="1107" xr:uid="{9EC646DB-4C2E-413C-8017-3A2BE6D9E5A0}"/>
    <cellStyle name="Comma 2 5 3 2" xfId="2705" xr:uid="{66440AA4-D760-4286-A428-1F9F7CE07AFC}"/>
    <cellStyle name="Comma 2 5 4" xfId="1298" xr:uid="{8C009CCB-7305-4B8F-B112-AB4B4A4C2722}"/>
    <cellStyle name="Comma 2 5 4 2" xfId="2895" xr:uid="{E1CBCC25-51B5-4006-8569-7713EB06F530}"/>
    <cellStyle name="Comma 2 5 5" xfId="2006" xr:uid="{CB949A1B-9411-4A6E-B0EB-377B5445530A}"/>
    <cellStyle name="Comma 2 5 6" xfId="1815" xr:uid="{21D19838-F815-468A-9A27-285F977A0C97}"/>
    <cellStyle name="Comma 2 6" xfId="144" xr:uid="{9ACA72FA-FC8E-4539-8F12-DE1570826067}"/>
    <cellStyle name="Comma 2 6 2" xfId="918" xr:uid="{3815A2CE-8FEC-4027-B64D-FD73C4F91EBB}"/>
    <cellStyle name="Comma 2 6 2 2" xfId="2516" xr:uid="{C4190DDF-12C0-4CAD-A6BF-04F38B351D4C}"/>
    <cellStyle name="Comma 2 6 3" xfId="1108" xr:uid="{EA30FBAD-3127-457C-BF37-FAC4AC25A525}"/>
    <cellStyle name="Comma 2 6 3 2" xfId="2706" xr:uid="{273FE207-1BD1-48F4-8DD3-5A56976E2850}"/>
    <cellStyle name="Comma 2 6 4" xfId="1299" xr:uid="{6D02A05D-23BF-4987-9F5B-32F65343C593}"/>
    <cellStyle name="Comma 2 6 4 2" xfId="2896" xr:uid="{F0ADB7EA-B52D-4413-B684-39454B639233}"/>
    <cellStyle name="Comma 2 6 5" xfId="2007" xr:uid="{7AD0B380-4725-4B73-8E7A-E2A5D120BB0D}"/>
    <cellStyle name="Comma 2 6 6" xfId="1816" xr:uid="{4BC7214E-5A7F-4F8B-80C6-AA59B634DE12}"/>
    <cellStyle name="Comma 2 7" xfId="128" xr:uid="{8EBD62AA-E7C2-49AA-AA1C-432CA2169F81}"/>
    <cellStyle name="Comma 2 7 2" xfId="902" xr:uid="{258BE6E3-9C5F-45EB-B56D-D1DA3523C991}"/>
    <cellStyle name="Comma 2 7 2 2" xfId="2500" xr:uid="{C0890DBE-3535-420A-9ECA-4B0C253326CE}"/>
    <cellStyle name="Comma 2 7 3" xfId="1092" xr:uid="{19F69D0E-A5EA-421F-94FF-4F51E2A4D64D}"/>
    <cellStyle name="Comma 2 7 3 2" xfId="2690" xr:uid="{730AFE3D-C4C1-455A-A862-F0CAF89773D3}"/>
    <cellStyle name="Comma 2 7 4" xfId="1283" xr:uid="{8EDFF179-1A85-4A35-8E79-8E6C1396BD3A}"/>
    <cellStyle name="Comma 2 7 4 2" xfId="2880" xr:uid="{14464F21-0E21-4EEE-BCBE-11D42125955D}"/>
    <cellStyle name="Comma 2 7 5" xfId="1991" xr:uid="{C0B33358-BB65-4400-84AD-F8CED245B4BA}"/>
    <cellStyle name="Comma 2 7 6" xfId="1800" xr:uid="{899B633B-FC99-4145-A061-C3F384C90D8B}"/>
    <cellStyle name="Comma 2 8" xfId="823" xr:uid="{F12B3FCD-0D29-4786-9EB1-C83377FCCB1A}"/>
    <cellStyle name="Comma 2 8 2" xfId="2421" xr:uid="{362BE0A9-21A1-4AC4-9AE8-E909BDDF29F9}"/>
    <cellStyle name="Comma 2 9" xfId="1013" xr:uid="{B8A54B48-0590-48D2-B009-3D982591E6DD}"/>
    <cellStyle name="Comma 2 9 2" xfId="2611" xr:uid="{2E4C9C58-8310-451E-A57E-36F1C94AD9BF}"/>
    <cellStyle name="Comma 20" xfId="145" xr:uid="{B1701CAD-D97D-4DB1-9686-53AE8B5BDE8C}"/>
    <cellStyle name="Comma 20 2" xfId="146" xr:uid="{70E93A06-4C16-4AA6-99C0-4FF2728EC565}"/>
    <cellStyle name="Comma 20 2 2" xfId="147" xr:uid="{0A010EC6-B48D-48E9-9DC7-43EC62447412}"/>
    <cellStyle name="Comma 20 2 2 2" xfId="921" xr:uid="{1E7DCFB4-504E-4C07-9F0F-BBDF40B72956}"/>
    <cellStyle name="Comma 20 2 2 2 2" xfId="2519" xr:uid="{D161B4CF-E0A8-4698-B53E-37F89D147F80}"/>
    <cellStyle name="Comma 20 2 2 3" xfId="1111" xr:uid="{BC42DCB6-E351-4367-AB7F-CDDA0D057B0A}"/>
    <cellStyle name="Comma 20 2 2 3 2" xfId="2709" xr:uid="{4725EC5D-77F0-4BD3-A824-BED285946D3E}"/>
    <cellStyle name="Comma 20 2 2 4" xfId="1302" xr:uid="{8CFADC6F-92F6-4868-92E6-AC2B71ED4842}"/>
    <cellStyle name="Comma 20 2 2 4 2" xfId="2899" xr:uid="{B90C6EE4-0E46-4BDF-B99F-AA40F4CA679D}"/>
    <cellStyle name="Comma 20 2 2 5" xfId="2010" xr:uid="{95173B6F-FD3C-4787-9822-5C7D4A5A3E44}"/>
    <cellStyle name="Comma 20 2 2 6" xfId="1819" xr:uid="{03DDCDB8-AFD2-4400-AD91-2DF9BD86CDA6}"/>
    <cellStyle name="Comma 20 2 3" xfId="920" xr:uid="{2C7F8BCB-418D-46E1-8FAE-99BEC7D0EC3A}"/>
    <cellStyle name="Comma 20 2 3 2" xfId="2518" xr:uid="{455A0855-4EE7-49F9-AF64-F02FCA5FE121}"/>
    <cellStyle name="Comma 20 2 4" xfId="1110" xr:uid="{2FDA0808-59F1-4D10-B457-08F230944C32}"/>
    <cellStyle name="Comma 20 2 4 2" xfId="2708" xr:uid="{82699B8E-01BE-4A2C-8B43-71D9BF8F837B}"/>
    <cellStyle name="Comma 20 2 5" xfId="1301" xr:uid="{62416E11-20CF-4497-A6BC-92AE9EE09910}"/>
    <cellStyle name="Comma 20 2 5 2" xfId="2898" xr:uid="{78CCDCFF-2EE9-47AF-A943-338D80CBFA1E}"/>
    <cellStyle name="Comma 20 2 6" xfId="2009" xr:uid="{6503EE1E-FCBE-45B7-9FF5-21548EEE34F4}"/>
    <cellStyle name="Comma 20 2 7" xfId="1818" xr:uid="{8E9C284C-899B-48DF-9A9B-33A0627BC238}"/>
    <cellStyle name="Comma 20 3" xfId="148" xr:uid="{64C332A9-B4C1-480D-A01B-71F4C958857D}"/>
    <cellStyle name="Comma 20 3 2" xfId="922" xr:uid="{1521BA62-B00C-4733-A296-7F53BDEBDDE7}"/>
    <cellStyle name="Comma 20 3 2 2" xfId="2520" xr:uid="{EF159305-3B85-4233-A32B-6BFC3277C109}"/>
    <cellStyle name="Comma 20 3 3" xfId="1112" xr:uid="{FB4351AB-33B3-4B24-A1F6-F0C6694CAB83}"/>
    <cellStyle name="Comma 20 3 3 2" xfId="2710" xr:uid="{3F8CF546-3F27-4FDB-86E5-06F8F75DB9CF}"/>
    <cellStyle name="Comma 20 3 4" xfId="1303" xr:uid="{06E14803-1E4F-4E53-BA58-BA6D056E976E}"/>
    <cellStyle name="Comma 20 3 4 2" xfId="2900" xr:uid="{073B1FDF-C19C-4BF5-AB5C-4ED7A7FD94A8}"/>
    <cellStyle name="Comma 20 3 5" xfId="2011" xr:uid="{21156AA2-D95B-4D53-A9B6-C6826096A9A5}"/>
    <cellStyle name="Comma 20 3 6" xfId="1820" xr:uid="{13D37BD9-8A04-4F3D-972F-0A290FC9D269}"/>
    <cellStyle name="Comma 20 4" xfId="919" xr:uid="{CF3A4F58-23E7-46C8-B360-D38BEB8B76F8}"/>
    <cellStyle name="Comma 20 4 2" xfId="2517" xr:uid="{220C3FD8-61FD-45BB-87F9-B7525C804147}"/>
    <cellStyle name="Comma 20 5" xfId="1109" xr:uid="{94A0A854-23C5-43DD-A62D-F6C68347B3F2}"/>
    <cellStyle name="Comma 20 5 2" xfId="2707" xr:uid="{22D0F896-F67D-4B1C-AB4A-EF8B22F16823}"/>
    <cellStyle name="Comma 20 6" xfId="1300" xr:uid="{98210EEE-1FC1-4F60-A301-921509315798}"/>
    <cellStyle name="Comma 20 6 2" xfId="2897" xr:uid="{ECE81E57-004E-4777-95B1-1B4A8920AE21}"/>
    <cellStyle name="Comma 20 7" xfId="2008" xr:uid="{860EFB0E-87BD-4392-9AD6-9826DAB8CFF8}"/>
    <cellStyle name="Comma 20 8" xfId="1817" xr:uid="{CBCB9773-4F5F-47EE-A040-C081E1D32F33}"/>
    <cellStyle name="Comma 21" xfId="149" xr:uid="{22A49B9F-C0F4-48C8-8828-04E95C0F24F9}"/>
    <cellStyle name="Comma 21 2" xfId="150" xr:uid="{61D6EAA5-6A8A-4A8A-915B-2A88FA257856}"/>
    <cellStyle name="Comma 21 2 2" xfId="924" xr:uid="{F9E046E9-415B-469D-8EFD-9B759280861F}"/>
    <cellStyle name="Comma 21 2 2 2" xfId="2522" xr:uid="{9DC8402D-CF0D-4F0C-80B6-AF9783D3F931}"/>
    <cellStyle name="Comma 21 2 3" xfId="1114" xr:uid="{1A1F55E3-C27E-416B-AF39-83BDB4B5A6EE}"/>
    <cellStyle name="Comma 21 2 3 2" xfId="2712" xr:uid="{34635B84-BD37-4046-BD66-54C8D6C2817D}"/>
    <cellStyle name="Comma 21 2 4" xfId="1305" xr:uid="{E992DAFC-EDD4-4551-86F3-CD6AD673649E}"/>
    <cellStyle name="Comma 21 2 4 2" xfId="2902" xr:uid="{8294884C-1D75-4D29-ACC0-33CF03CCFCE1}"/>
    <cellStyle name="Comma 21 2 5" xfId="2013" xr:uid="{EB80F474-CA49-46AA-9A70-46DEC65A43B2}"/>
    <cellStyle name="Comma 21 2 6" xfId="1822" xr:uid="{135A70B1-C372-4E5C-9FC5-51E0DE28AC51}"/>
    <cellStyle name="Comma 21 3" xfId="923" xr:uid="{78BA6778-BAE5-4AE6-97B1-5B6AC12B4D79}"/>
    <cellStyle name="Comma 21 3 2" xfId="2521" xr:uid="{A2277069-6300-4ACC-B4DA-91FD455B8E46}"/>
    <cellStyle name="Comma 21 4" xfId="1113" xr:uid="{67E0C57F-F276-4FED-94AE-9AB8C4CB9322}"/>
    <cellStyle name="Comma 21 4 2" xfId="2711" xr:uid="{B213D29F-ACB9-49CE-BDA6-9CDA0FF6E338}"/>
    <cellStyle name="Comma 21 5" xfId="1304" xr:uid="{B711F833-4F02-4296-A064-8EAC568A3D7C}"/>
    <cellStyle name="Comma 21 5 2" xfId="2901" xr:uid="{AE74A651-B829-4B01-813C-3FE91A1DBA56}"/>
    <cellStyle name="Comma 21 6" xfId="2012" xr:uid="{243EF360-B6A1-4CD8-BBF8-D79F78373CE8}"/>
    <cellStyle name="Comma 21 7" xfId="1821" xr:uid="{C651FF9A-2020-4E27-AD0A-E356C607C8AE}"/>
    <cellStyle name="Comma 22" xfId="151" xr:uid="{0D4981AD-4B8B-45AA-90BF-C5185C91F9EF}"/>
    <cellStyle name="Comma 22 2" xfId="925" xr:uid="{15D8D48F-ABE2-4DFA-B36F-9C56C761811B}"/>
    <cellStyle name="Comma 22 2 2" xfId="2523" xr:uid="{1B60826E-7A19-4401-AC82-595E6B745139}"/>
    <cellStyle name="Comma 22 3" xfId="1115" xr:uid="{E60AD882-D296-47B7-A943-654B808FF388}"/>
    <cellStyle name="Comma 22 3 2" xfId="2713" xr:uid="{DAB578FE-47C0-40BF-96FB-8F6FB4995602}"/>
    <cellStyle name="Comma 22 4" xfId="1306" xr:uid="{BFA2FB05-DEC2-4516-9046-18EB4822001C}"/>
    <cellStyle name="Comma 22 4 2" xfId="2903" xr:uid="{0CE237F5-EF60-4916-8BB6-7DD570345104}"/>
    <cellStyle name="Comma 22 5" xfId="2014" xr:uid="{AE852B81-E51E-4586-BF32-452507EC2155}"/>
    <cellStyle name="Comma 22 6" xfId="1823" xr:uid="{F90F4858-B8D1-497D-A349-45BEA696D525}"/>
    <cellStyle name="Comma 23" xfId="152" xr:uid="{D0D7F230-0549-48DD-AA1C-16C18078B3C4}"/>
    <cellStyle name="Comma 23 2" xfId="926" xr:uid="{9DF80B52-7283-47CE-B938-4150A8257DFD}"/>
    <cellStyle name="Comma 23 2 2" xfId="2524" xr:uid="{F6D983A0-2220-4B4A-8DD9-733830A995E3}"/>
    <cellStyle name="Comma 23 3" xfId="1116" xr:uid="{DA66CD00-A7EE-4DA0-A5ED-C7D40A00A9A4}"/>
    <cellStyle name="Comma 23 3 2" xfId="2714" xr:uid="{25C556AC-7BE2-475F-B11B-BE69D620F144}"/>
    <cellStyle name="Comma 23 4" xfId="1307" xr:uid="{34170BFE-11B2-4085-A49E-3A78CDD94F45}"/>
    <cellStyle name="Comma 23 4 2" xfId="2904" xr:uid="{61C63FE3-54F5-4B61-8462-FFA5BC00C4AE}"/>
    <cellStyle name="Comma 23 5" xfId="2015" xr:uid="{62AD501E-B38F-427B-9285-07D614AB2CEE}"/>
    <cellStyle name="Comma 23 6" xfId="1824" xr:uid="{BDDC785D-2876-46E0-B9CD-D51A512C7F5B}"/>
    <cellStyle name="Comma 24" xfId="153" xr:uid="{BFC8123A-A9BB-41A7-A81C-F8DB42D39EB3}"/>
    <cellStyle name="Comma 24 2" xfId="927" xr:uid="{E5C18D4F-ADA6-4D8D-A323-C462367A81D2}"/>
    <cellStyle name="Comma 24 2 2" xfId="2525" xr:uid="{E6108E1E-F9D8-417E-9000-F6FE13A67DFD}"/>
    <cellStyle name="Comma 24 3" xfId="1117" xr:uid="{5DB539BA-4266-4C75-A451-DD71C87C099E}"/>
    <cellStyle name="Comma 24 3 2" xfId="2715" xr:uid="{48BCF2D2-A8F7-40A4-A0B7-641F2A6542B9}"/>
    <cellStyle name="Comma 24 4" xfId="1308" xr:uid="{692E3172-17BA-4260-AC2F-D7983DA403D0}"/>
    <cellStyle name="Comma 24 4 2" xfId="2905" xr:uid="{502C67A0-3D06-45F4-8293-470CBA18656A}"/>
    <cellStyle name="Comma 24 5" xfId="2016" xr:uid="{2D162380-8DF4-4699-960A-76C1774EDF02}"/>
    <cellStyle name="Comma 24 6" xfId="1825" xr:uid="{F427F6AC-21F6-44D9-B0C6-71B193DF13F2}"/>
    <cellStyle name="Comma 25" xfId="154" xr:uid="{87157CFC-25D6-4636-A5AA-23D9D195390D}"/>
    <cellStyle name="Comma 25 2" xfId="928" xr:uid="{C115BF6E-7EED-484D-AFA5-861A179004A8}"/>
    <cellStyle name="Comma 25 2 2" xfId="2526" xr:uid="{3D7343DE-0BF7-48EF-9593-063D43A4CEA3}"/>
    <cellStyle name="Comma 25 3" xfId="1118" xr:uid="{1253CC03-63C0-45D6-9DE5-5188C8A6469B}"/>
    <cellStyle name="Comma 25 3 2" xfId="2716" xr:uid="{36860AA5-E7BF-4F7C-A79D-8A25EBAE121E}"/>
    <cellStyle name="Comma 25 4" xfId="1309" xr:uid="{67C18F3C-D385-4BAB-83CC-66FF308302E7}"/>
    <cellStyle name="Comma 25 4 2" xfId="2906" xr:uid="{686C3A1D-ED01-44B9-A559-C3BD67F49727}"/>
    <cellStyle name="Comma 25 5" xfId="2017" xr:uid="{B839AF51-5ECD-4CCA-B87B-E1808E860F10}"/>
    <cellStyle name="Comma 25 6" xfId="1826" xr:uid="{89C00311-2DA1-464E-957A-60511E38E31D}"/>
    <cellStyle name="Comma 26" xfId="593" xr:uid="{4CAD1DDF-403F-4B4D-8876-268044B4907A}"/>
    <cellStyle name="Comma 26 2" xfId="993" xr:uid="{9770E51C-6CB0-41D6-9DCB-0104097F9928}"/>
    <cellStyle name="Comma 26 2 2" xfId="2591" xr:uid="{0D5EA18A-6B30-4832-B203-D032F4E333D7}"/>
    <cellStyle name="Comma 26 3" xfId="1183" xr:uid="{66BFC27E-E391-4575-A9E9-7D015335805F}"/>
    <cellStyle name="Comma 26 3 2" xfId="2781" xr:uid="{5865F82F-2341-46AB-A506-FA96A4B4D866}"/>
    <cellStyle name="Comma 26 4" xfId="1662" xr:uid="{DB39523D-974A-450E-A577-2BEE81D47F03}"/>
    <cellStyle name="Comma 26 4 2" xfId="2971" xr:uid="{B8E32C1A-C6AA-455D-BE0F-3B72A9A68BD7}"/>
    <cellStyle name="Comma 26 5" xfId="2370" xr:uid="{1B8CDD24-F068-40F9-B0EA-F058C0A79D4E}"/>
    <cellStyle name="Comma 26 6" xfId="1891" xr:uid="{90DA6922-9687-4918-951E-97B23CC2BD62}"/>
    <cellStyle name="Comma 27" xfId="594" xr:uid="{DEFBF9BE-61F9-4374-9F6C-BDAE02D313EA}"/>
    <cellStyle name="Comma 27 2" xfId="994" xr:uid="{274E2EC3-DB88-4A00-9D12-D351A1C91DCD}"/>
    <cellStyle name="Comma 27 2 2" xfId="2592" xr:uid="{FC8861B3-1318-400D-A5C9-E947E4C457FA}"/>
    <cellStyle name="Comma 27 3" xfId="1184" xr:uid="{B52FC5D8-6DC4-4F90-93E4-CAD169964A94}"/>
    <cellStyle name="Comma 27 3 2" xfId="2782" xr:uid="{5A054ABC-6116-4142-9B65-03BB0A6C4C09}"/>
    <cellStyle name="Comma 27 4" xfId="1663" xr:uid="{F340D7A3-5D14-4B95-824C-6C9335D5C1A0}"/>
    <cellStyle name="Comma 27 4 2" xfId="2972" xr:uid="{18795B33-BCCD-44F0-9D53-B446DD85447F}"/>
    <cellStyle name="Comma 27 5" xfId="2371" xr:uid="{C8A9040D-C9F9-462B-8B3E-E01F723AAA8A}"/>
    <cellStyle name="Comma 27 6" xfId="1892" xr:uid="{DD75A778-993D-42E9-B4A6-D730A3BE685D}"/>
    <cellStyle name="Comma 28" xfId="601" xr:uid="{C8EA1613-EA88-4A2B-9AD7-262AEA348AAF}"/>
    <cellStyle name="Comma 28 2" xfId="996" xr:uid="{52CBB02E-5F0E-464E-847A-E58CCEF90741}"/>
    <cellStyle name="Comma 28 2 2" xfId="2594" xr:uid="{6A5A13EB-38A2-4ED3-8F44-FDE70865A4F2}"/>
    <cellStyle name="Comma 28 3" xfId="1186" xr:uid="{783B7522-8F06-4BED-8EB2-796241210744}"/>
    <cellStyle name="Comma 28 3 2" xfId="2784" xr:uid="{0E75E4C4-9DB5-4614-93C0-F34C3A19D3AB}"/>
    <cellStyle name="Comma 28 4" xfId="1667" xr:uid="{2E7AE518-A204-496D-BEDC-2151C1E601AD}"/>
    <cellStyle name="Comma 28 4 2" xfId="2974" xr:uid="{65D35FFD-7E3E-4AAE-A050-60C7B42463E2}"/>
    <cellStyle name="Comma 28 5" xfId="2375" xr:uid="{A08F4CEB-F689-4179-AFAC-B703B648F38C}"/>
    <cellStyle name="Comma 28 6" xfId="1894" xr:uid="{8BA467EA-4F4D-43F6-8CC9-74CB03623868}"/>
    <cellStyle name="Comma 29" xfId="600" xr:uid="{48498C47-7C22-494C-A3DA-9E36094A822E}"/>
    <cellStyle name="Comma 29 2" xfId="995" xr:uid="{FE432D43-ED50-4453-B147-2EA5C23BC4E0}"/>
    <cellStyle name="Comma 29 2 2" xfId="2593" xr:uid="{B64BFA25-B16A-45CE-988D-267100311007}"/>
    <cellStyle name="Comma 29 3" xfId="1185" xr:uid="{06A283BC-5D68-4D76-B694-34A4711C76C7}"/>
    <cellStyle name="Comma 29 3 2" xfId="2783" xr:uid="{C36546A7-3B09-4706-9D18-25CAB9C20FA4}"/>
    <cellStyle name="Comma 29 4" xfId="1666" xr:uid="{EDC67F8B-F4E9-46EE-864C-9E0F9DD499F0}"/>
    <cellStyle name="Comma 29 4 2" xfId="2973" xr:uid="{D4C6F59E-1F6C-427D-A4D1-767842C505CF}"/>
    <cellStyle name="Comma 29 5" xfId="2374" xr:uid="{571D9347-5C2C-4DF0-87E4-FBF29907A7BB}"/>
    <cellStyle name="Comma 29 6" xfId="1893" xr:uid="{203E13A0-5698-4DD6-ACAE-25CBF39715BB}"/>
    <cellStyle name="Comma 3" xfId="4" xr:uid="{8D219113-9A71-4A11-976C-6AFB9CF6093E}"/>
    <cellStyle name="Comma 3 10" xfId="1913" xr:uid="{1BF8202A-6B14-4618-8088-418DADA0D322}"/>
    <cellStyle name="Comma 3 11" xfId="1722" xr:uid="{E583B5D5-4971-45D6-A6D9-46FD86ABB778}"/>
    <cellStyle name="Comma 3 2" xfId="156" xr:uid="{81B3A518-C1A0-49A8-8B8E-447570071153}"/>
    <cellStyle name="Comma 3 2 2" xfId="157" xr:uid="{63DA929C-14E8-496C-92F5-796958B453D2}"/>
    <cellStyle name="Comma 3 2 2 2" xfId="158" xr:uid="{1A222745-A012-43D0-8DA1-E580781DEB97}"/>
    <cellStyle name="Comma 3 2 2 2 2" xfId="932" xr:uid="{B8487B3F-A9A9-42AA-9E78-8DBC4C2DF1E4}"/>
    <cellStyle name="Comma 3 2 2 2 2 2" xfId="2530" xr:uid="{CBF31E56-DCEF-431C-AF61-E6474BB9F265}"/>
    <cellStyle name="Comma 3 2 2 2 3" xfId="1122" xr:uid="{EEF09A6E-E4BD-4634-89F1-BBCC487E02C7}"/>
    <cellStyle name="Comma 3 2 2 2 3 2" xfId="2720" xr:uid="{A1152ECC-E6CB-4D81-A20C-09A153ECD3C7}"/>
    <cellStyle name="Comma 3 2 2 2 4" xfId="1313" xr:uid="{E1B2C35B-6D67-492C-9808-46FDE73D3233}"/>
    <cellStyle name="Comma 3 2 2 2 4 2" xfId="2910" xr:uid="{85257A9A-D997-4B01-AD66-5C39F1C07C9F}"/>
    <cellStyle name="Comma 3 2 2 2 5" xfId="2021" xr:uid="{F2789582-A79B-4CE6-A78A-66BA748B3E08}"/>
    <cellStyle name="Comma 3 2 2 2 6" xfId="1830" xr:uid="{C88F7D62-0B8C-4114-BF81-B0E7A9FCE409}"/>
    <cellStyle name="Comma 3 2 2 3" xfId="931" xr:uid="{80FE0BBD-04A1-4FBE-AEC1-CDC474B1A580}"/>
    <cellStyle name="Comma 3 2 2 3 2" xfId="2529" xr:uid="{2291D0F2-7438-4A4D-A3F3-05D85718637A}"/>
    <cellStyle name="Comma 3 2 2 4" xfId="1121" xr:uid="{DCFA2610-B5B0-449B-AFB2-1AFF88518374}"/>
    <cellStyle name="Comma 3 2 2 4 2" xfId="2719" xr:uid="{4D60ECCC-2FF7-4707-874D-6EFB2D01994A}"/>
    <cellStyle name="Comma 3 2 2 5" xfId="1312" xr:uid="{7E603233-7189-4D47-A3BD-418986A32BF9}"/>
    <cellStyle name="Comma 3 2 2 5 2" xfId="2909" xr:uid="{4D76FDC1-E151-4967-8D48-A9CB8423791F}"/>
    <cellStyle name="Comma 3 2 2 6" xfId="2020" xr:uid="{5D202153-C359-4A2D-8C01-AEF5F714DD34}"/>
    <cellStyle name="Comma 3 2 2 7" xfId="1829" xr:uid="{9CF55B86-BEAF-4159-B91B-C74F42D02B55}"/>
    <cellStyle name="Comma 3 2 3" xfId="159" xr:uid="{B509F311-9B32-485E-A821-0382E9C83299}"/>
    <cellStyle name="Comma 3 2 3 2" xfId="933" xr:uid="{7D14FB6B-A6D7-4923-BE54-C31CF60C604B}"/>
    <cellStyle name="Comma 3 2 3 2 2" xfId="2531" xr:uid="{1AAAD6B8-945A-4716-9EDD-F89B83DD5B06}"/>
    <cellStyle name="Comma 3 2 3 3" xfId="1123" xr:uid="{46ADFD17-25D3-4C0B-8D0C-F62D12C9AA76}"/>
    <cellStyle name="Comma 3 2 3 3 2" xfId="2721" xr:uid="{81E5D212-5835-4260-A42B-C0F879482105}"/>
    <cellStyle name="Comma 3 2 3 4" xfId="1314" xr:uid="{1248B40E-9EF5-4C52-AB07-4A0BF379C984}"/>
    <cellStyle name="Comma 3 2 3 4 2" xfId="2911" xr:uid="{5239D2E2-CBA3-49A5-9F90-CEFA05F38AAA}"/>
    <cellStyle name="Comma 3 2 3 5" xfId="2022" xr:uid="{C3ADFC50-8C9F-4B2A-8BBA-D48508AB7899}"/>
    <cellStyle name="Comma 3 2 3 6" xfId="1831" xr:uid="{CC2D2F6F-D740-4CEB-BB0A-8585857AC377}"/>
    <cellStyle name="Comma 3 2 4" xfId="930" xr:uid="{1543A12D-0D5F-42DD-A649-25C2180FC052}"/>
    <cellStyle name="Comma 3 2 4 2" xfId="2528" xr:uid="{8F7B902A-29E8-4196-9CFA-B67CF55B0381}"/>
    <cellStyle name="Comma 3 2 5" xfId="1120" xr:uid="{18191FAF-4246-44D6-BB8A-DA5C55D2FA35}"/>
    <cellStyle name="Comma 3 2 5 2" xfId="2718" xr:uid="{FEDB189C-D791-4652-8597-74787854EA5C}"/>
    <cellStyle name="Comma 3 2 6" xfId="1311" xr:uid="{2784F115-FA78-46B1-97C5-237CF36371EA}"/>
    <cellStyle name="Comma 3 2 6 2" xfId="2908" xr:uid="{0D85E995-2099-4EA4-BA1E-56556A67DA0B}"/>
    <cellStyle name="Comma 3 2 7" xfId="2019" xr:uid="{6728458D-A20C-4E96-9F40-8B6139BFEE2F}"/>
    <cellStyle name="Comma 3 2 8" xfId="1828" xr:uid="{D4628AC4-4643-499D-A2BD-772C25AE6C3D}"/>
    <cellStyle name="Comma 3 3" xfId="160" xr:uid="{ED0A071D-C134-488A-8CEF-53E7F322DDAE}"/>
    <cellStyle name="Comma 3 3 2" xfId="161" xr:uid="{8C1008EC-88E3-4E10-9A78-3C22B741866D}"/>
    <cellStyle name="Comma 3 3 2 2" xfId="935" xr:uid="{3F86B2CC-237D-418E-A169-257079B060D8}"/>
    <cellStyle name="Comma 3 3 2 2 2" xfId="2533" xr:uid="{FC12FCF7-0FF1-4C18-AF2C-C7F425C491E1}"/>
    <cellStyle name="Comma 3 3 2 3" xfId="1125" xr:uid="{291B679F-4C87-4E0F-8EB0-A9269E61DDD8}"/>
    <cellStyle name="Comma 3 3 2 3 2" xfId="2723" xr:uid="{2A5845F0-E7BB-4301-8F91-E25500E65B8C}"/>
    <cellStyle name="Comma 3 3 2 4" xfId="1316" xr:uid="{B11C96C3-5685-47DD-9364-C68E3DAA74DC}"/>
    <cellStyle name="Comma 3 3 2 4 2" xfId="2913" xr:uid="{F0D5D476-6F41-4894-943D-C9014A79B63F}"/>
    <cellStyle name="Comma 3 3 2 5" xfId="2024" xr:uid="{5724AC4D-719F-4D49-A4CC-A76A49F5F062}"/>
    <cellStyle name="Comma 3 3 2 6" xfId="1833" xr:uid="{4109C9CE-E46D-4EEF-A2F8-18DEACEE7E5D}"/>
    <cellStyle name="Comma 3 3 3" xfId="934" xr:uid="{98CA2E21-2543-4A28-B19F-F1A54FD483AC}"/>
    <cellStyle name="Comma 3 3 3 2" xfId="2532" xr:uid="{F792C61C-BA88-45A8-8DB7-089F94A61638}"/>
    <cellStyle name="Comma 3 3 4" xfId="1124" xr:uid="{D84B13EC-B1BA-4A10-8B52-BC1BF80A2B0F}"/>
    <cellStyle name="Comma 3 3 4 2" xfId="2722" xr:uid="{4D8F01DC-1E06-4A64-A54C-97E21CE55892}"/>
    <cellStyle name="Comma 3 3 5" xfId="1315" xr:uid="{DFC3A132-6C61-4252-AEBE-137A939B5DF8}"/>
    <cellStyle name="Comma 3 3 5 2" xfId="2912" xr:uid="{EF7E69E2-187E-4551-9EDD-F54515C87738}"/>
    <cellStyle name="Comma 3 3 6" xfId="2023" xr:uid="{2E1C8123-3907-4953-80E1-52A450C9FE7C}"/>
    <cellStyle name="Comma 3 3 7" xfId="1832" xr:uid="{5F77C0B8-5549-4BDE-B26F-E6DB87CC2258}"/>
    <cellStyle name="Comma 3 4" xfId="162" xr:uid="{83FBB8B7-E28F-4E09-A404-4BF7BE020D78}"/>
    <cellStyle name="Comma 3 4 2" xfId="936" xr:uid="{F25FD792-3DB0-410A-9DED-3E354C6BB05C}"/>
    <cellStyle name="Comma 3 4 2 2" xfId="2534" xr:uid="{1FEF30D0-30F7-4949-8C90-7A2A80081012}"/>
    <cellStyle name="Comma 3 4 3" xfId="1126" xr:uid="{8D0D565F-7774-4FF3-BED7-A4B743EF365C}"/>
    <cellStyle name="Comma 3 4 3 2" xfId="2724" xr:uid="{3348B56F-BBFE-4048-BBC5-743BA8DF866D}"/>
    <cellStyle name="Comma 3 4 4" xfId="1317" xr:uid="{EE3AD257-FD97-475E-8231-815A046B6F10}"/>
    <cellStyle name="Comma 3 4 4 2" xfId="2914" xr:uid="{089BAEA6-2381-456A-B143-A92A76051704}"/>
    <cellStyle name="Comma 3 4 5" xfId="2025" xr:uid="{B79736DD-B798-4824-8388-C0DE77E3DBE8}"/>
    <cellStyle name="Comma 3 4 6" xfId="1834" xr:uid="{A72AD5CC-64D7-4D07-82CD-068A2563606B}"/>
    <cellStyle name="Comma 3 5" xfId="155" xr:uid="{D5F1FCC2-E531-4C77-8CAD-D0B45E6796F3}"/>
    <cellStyle name="Comma 3 5 2" xfId="929" xr:uid="{4980EA2B-2227-4F18-B14C-6454FF5D6F6B}"/>
    <cellStyle name="Comma 3 5 2 2" xfId="2527" xr:uid="{E2A3F37F-544E-4F7D-A567-90AE01C09970}"/>
    <cellStyle name="Comma 3 5 3" xfId="1119" xr:uid="{AD8CFF76-B52B-4A0B-9FBB-EE90B66E743F}"/>
    <cellStyle name="Comma 3 5 3 2" xfId="2717" xr:uid="{C70EF9EB-71CC-4A0E-8744-F954794A3862}"/>
    <cellStyle name="Comma 3 5 4" xfId="1310" xr:uid="{749479F3-8792-4999-AD09-1310D8D14312}"/>
    <cellStyle name="Comma 3 5 4 2" xfId="2907" xr:uid="{F400F219-5AC9-44BE-A379-B14532ACDD1A}"/>
    <cellStyle name="Comma 3 5 5" xfId="2018" xr:uid="{E62327A9-DB5F-4123-A699-C166773730A7}"/>
    <cellStyle name="Comma 3 5 6" xfId="1827" xr:uid="{54419DC4-AAB5-46C4-A204-E142BBC26C1A}"/>
    <cellStyle name="Comma 3 6" xfId="824" xr:uid="{F97BB78D-D493-46E8-8355-2C3E7D024C58}"/>
    <cellStyle name="Comma 3 6 2" xfId="2422" xr:uid="{022B2FA3-FB54-4E0E-90F5-C6FFBFB828F8}"/>
    <cellStyle name="Comma 3 7" xfId="1014" xr:uid="{ABF89942-DED8-4A9A-ACEC-08A9B954ABC6}"/>
    <cellStyle name="Comma 3 7 2" xfId="2612" xr:uid="{E06B94D7-95B3-44BC-B3EE-BB9E2C5867CD}"/>
    <cellStyle name="Comma 3 8" xfId="1205" xr:uid="{E67F765F-8B4D-4E6C-ABCF-5A028D6C9257}"/>
    <cellStyle name="Comma 3 8 2" xfId="2802" xr:uid="{141E9F8F-BFED-48CF-A13D-66607F32E721}"/>
    <cellStyle name="Comma 3 9" xfId="1717" xr:uid="{C3B87FA1-54F5-4E54-AB47-FEC8BE3B23EC}"/>
    <cellStyle name="Comma 3 9 2" xfId="2996" xr:uid="{4055064F-3FA8-40F9-90BF-CA14CB9E095B}"/>
    <cellStyle name="Comma 30" xfId="602" xr:uid="{40DA548F-72F0-4DA4-B04A-6DBF366BA0FC}"/>
    <cellStyle name="Comma 30 2" xfId="997" xr:uid="{1E280AED-C4B1-4CBE-B3C6-98A61169D74A}"/>
    <cellStyle name="Comma 30 2 2" xfId="2595" xr:uid="{A692FE9F-DE48-4412-8197-419B358116B1}"/>
    <cellStyle name="Comma 30 3" xfId="1187" xr:uid="{D10DFCB2-3C9E-403A-B781-20DAFCEF8804}"/>
    <cellStyle name="Comma 30 3 2" xfId="2785" xr:uid="{66EDE78B-13CC-47B3-9967-73069647D964}"/>
    <cellStyle name="Comma 30 4" xfId="1668" xr:uid="{7BD39DC6-CC20-401F-B8B0-F8300FC3B6AB}"/>
    <cellStyle name="Comma 30 4 2" xfId="2975" xr:uid="{3D889A1A-448D-4702-BA93-E3E08B182329}"/>
    <cellStyle name="Comma 30 5" xfId="2376" xr:uid="{C44F71E7-6D34-49EC-9B89-6D2C021959B7}"/>
    <cellStyle name="Comma 30 6" xfId="1895" xr:uid="{0C0EEF47-CBE3-4B40-AE18-BD6A1B5673CF}"/>
    <cellStyle name="Comma 31" xfId="650" xr:uid="{B5BF25AD-DBC6-4DD6-89E3-3B062D6BB08C}"/>
    <cellStyle name="Comma 31 2" xfId="998" xr:uid="{0411325D-E4CB-4D03-B16E-F51B2EA2ED4A}"/>
    <cellStyle name="Comma 31 2 2" xfId="2596" xr:uid="{0EE0BBDA-A3EE-4B00-97EC-B0F0228C832D}"/>
    <cellStyle name="Comma 31 3" xfId="1188" xr:uid="{CE64F1B0-7CCE-46D7-A956-D1CA3BE44C13}"/>
    <cellStyle name="Comma 31 3 2" xfId="2786" xr:uid="{A4E2AE7A-CBB5-44C7-9910-0D580CCB54E5}"/>
    <cellStyle name="Comma 31 4" xfId="1672" xr:uid="{E2E44065-8FF8-4ACB-89A3-1C33B9068EDB}"/>
    <cellStyle name="Comma 31 4 2" xfId="2976" xr:uid="{CACC86C7-2152-4BA2-800C-ABCA9A411D1B}"/>
    <cellStyle name="Comma 31 5" xfId="2380" xr:uid="{DCAF8ECE-B1B6-4B4D-8B5B-517AE6813BFF}"/>
    <cellStyle name="Comma 31 6" xfId="1896" xr:uid="{DEE477EB-4516-490C-98B1-763E12E5C27A}"/>
    <cellStyle name="Comma 32" xfId="652" xr:uid="{53B5DA18-B164-4DF9-B187-F11DE0901920}"/>
    <cellStyle name="Comma 32 2" xfId="999" xr:uid="{B0154B60-022D-41B8-A853-3E443AD6AF16}"/>
    <cellStyle name="Comma 32 2 2" xfId="2597" xr:uid="{617E9841-1EEE-4DC3-9F03-D15FD0C956AB}"/>
    <cellStyle name="Comma 32 3" xfId="1189" xr:uid="{DA3F2839-2A8C-4248-B796-A7587885C527}"/>
    <cellStyle name="Comma 32 3 2" xfId="2787" xr:uid="{18BB4616-3522-455A-8544-1E36AF700E6C}"/>
    <cellStyle name="Comma 32 4" xfId="1674" xr:uid="{050AE5E1-1B79-4B15-8DC8-25F07B72F8FD}"/>
    <cellStyle name="Comma 32 4 2" xfId="2977" xr:uid="{D945D718-E08B-4977-AFE6-DCA59C660BEF}"/>
    <cellStyle name="Comma 32 5" xfId="2382" xr:uid="{E8A65C62-49DF-4C62-8C0B-83510BBD72CE}"/>
    <cellStyle name="Comma 32 6" xfId="1897" xr:uid="{192BA861-B511-4723-8AF8-5B7B0D3FA172}"/>
    <cellStyle name="Comma 33" xfId="657" xr:uid="{A960B94B-6867-48AB-BDEA-C3F6DB07AAAD}"/>
    <cellStyle name="Comma 33 2" xfId="1000" xr:uid="{3657CF7B-1775-479A-B8CA-17D4A154DFFE}"/>
    <cellStyle name="Comma 33 2 2" xfId="2598" xr:uid="{7A20C89C-4D2C-4BFA-99A7-E7845F3CA185}"/>
    <cellStyle name="Comma 33 3" xfId="1190" xr:uid="{FD3046AA-0EE7-474F-8698-4997D3E2599A}"/>
    <cellStyle name="Comma 33 3 2" xfId="2788" xr:uid="{B2C63D51-D676-4E9B-B987-B16E2BAAAD22}"/>
    <cellStyle name="Comma 33 4" xfId="1677" xr:uid="{CDAC3357-6C14-4586-9B3A-57EA30A8E7C5}"/>
    <cellStyle name="Comma 33 4 2" xfId="2978" xr:uid="{AC9D165D-C264-4392-BD5A-F22BC504F8BE}"/>
    <cellStyle name="Comma 33 5" xfId="2385" xr:uid="{796AB866-0130-4897-8A62-F33E8047F5FA}"/>
    <cellStyle name="Comma 33 6" xfId="1898" xr:uid="{84985FBE-FE30-4934-98D9-C3F5B0D1B659}"/>
    <cellStyle name="Comma 34" xfId="661" xr:uid="{EAA899E5-FEA3-497A-890F-F80A1EEDFD3E}"/>
    <cellStyle name="Comma 34 2" xfId="1001" xr:uid="{8E4EEA92-9150-4350-92C2-964C8844A3FD}"/>
    <cellStyle name="Comma 34 2 2" xfId="2599" xr:uid="{B2B0A9A6-27AC-4360-8BEB-0FC2F6AD3A61}"/>
    <cellStyle name="Comma 34 3" xfId="1191" xr:uid="{D02CAA89-DBA9-46AF-AC87-E1C7DE9DCC21}"/>
    <cellStyle name="Comma 34 3 2" xfId="2789" xr:uid="{4414856D-4331-44FB-95FE-B5F99E2E3540}"/>
    <cellStyle name="Comma 34 4" xfId="1679" xr:uid="{6F65ACE5-A209-48E7-A60F-6CBD31656170}"/>
    <cellStyle name="Comma 34 4 2" xfId="2979" xr:uid="{DF747341-68FD-4377-A30C-CA5431E298CE}"/>
    <cellStyle name="Comma 34 5" xfId="2387" xr:uid="{0F6B8416-15C4-4026-9BCA-2A6FB74EACD4}"/>
    <cellStyle name="Comma 34 6" xfId="1899" xr:uid="{6182E824-045F-4614-B220-04B2BC5AC6A0}"/>
    <cellStyle name="Comma 35" xfId="662" xr:uid="{BDAD91B6-1BD6-40CF-8C3F-45D85488C7DF}"/>
    <cellStyle name="Comma 35 2" xfId="1002" xr:uid="{FA1CD5BD-D1D4-44E7-A9B0-8A1AC38D0595}"/>
    <cellStyle name="Comma 35 2 2" xfId="2600" xr:uid="{960D5FF6-B178-4479-B3DF-8A792ACDD777}"/>
    <cellStyle name="Comma 35 3" xfId="1192" xr:uid="{CC34544D-BB39-43E5-B380-8927E8F7015B}"/>
    <cellStyle name="Comma 35 3 2" xfId="2790" xr:uid="{C583C7C1-E96D-4CA0-9C4C-6588D082999D}"/>
    <cellStyle name="Comma 35 4" xfId="1680" xr:uid="{FE7C5DE6-DED3-41C2-B84F-959EAFDC48FF}"/>
    <cellStyle name="Comma 35 4 2" xfId="2980" xr:uid="{B1439D1D-6EB2-4361-A0B1-FCDDA9FA0C41}"/>
    <cellStyle name="Comma 35 5" xfId="2388" xr:uid="{83B9076E-182D-43D8-B516-344CE0DC8A91}"/>
    <cellStyle name="Comma 35 6" xfId="1900" xr:uid="{24201FD1-F7CE-44FC-8DC5-204F648A428B}"/>
    <cellStyle name="Comma 36" xfId="663" xr:uid="{3B03E66F-A2B7-4CE6-8F6A-5D866E7944D4}"/>
    <cellStyle name="Comma 36 2" xfId="1003" xr:uid="{DCB45834-4317-4B58-A4C4-07AF6BEE3D9C}"/>
    <cellStyle name="Comma 36 2 2" xfId="2601" xr:uid="{66F5D0A1-A975-4C73-A9D5-E1A9E82B26BD}"/>
    <cellStyle name="Comma 36 3" xfId="1193" xr:uid="{A3FD10A8-7869-414D-B2D6-F5319E18E201}"/>
    <cellStyle name="Comma 36 3 2" xfId="2791" xr:uid="{76EC1851-C238-4684-B05F-6AC7ACA944BE}"/>
    <cellStyle name="Comma 36 4" xfId="1681" xr:uid="{7F136D12-BE32-4829-8B2B-42676F46B235}"/>
    <cellStyle name="Comma 36 4 2" xfId="2981" xr:uid="{E51C6D31-DA19-415D-8524-921A654DDDB3}"/>
    <cellStyle name="Comma 36 5" xfId="2389" xr:uid="{1886D7D5-60D2-4F49-9906-BF9621CE20F8}"/>
    <cellStyle name="Comma 36 6" xfId="1901" xr:uid="{F4D6F289-E8EC-4D1F-9FF6-67B2A0EF85DE}"/>
    <cellStyle name="Comma 37" xfId="664" xr:uid="{15BEF9A9-75C6-4B2D-9648-9C0249272C7F}"/>
    <cellStyle name="Comma 37 2" xfId="1004" xr:uid="{99113F66-905A-4085-98EF-F7F4AE72D394}"/>
    <cellStyle name="Comma 37 2 2" xfId="2602" xr:uid="{C323BC50-C4AF-4F6E-B721-B882462D23AB}"/>
    <cellStyle name="Comma 37 3" xfId="1194" xr:uid="{E805A38F-DD8C-4491-80AA-53AFFE7ADC18}"/>
    <cellStyle name="Comma 37 3 2" xfId="2792" xr:uid="{89A680D3-D9BD-4410-8873-127F2DEFBDFB}"/>
    <cellStyle name="Comma 37 4" xfId="1682" xr:uid="{E0B6FFB9-B387-40E1-A2EC-2140678AF8BC}"/>
    <cellStyle name="Comma 37 4 2" xfId="2982" xr:uid="{A32F6B27-6BD5-44D7-9406-3D22B0721A6D}"/>
    <cellStyle name="Comma 37 5" xfId="2390" xr:uid="{19C1BE57-7014-4A29-B51A-A9DE4492E564}"/>
    <cellStyle name="Comma 37 6" xfId="1902" xr:uid="{7DB1AAFD-5CA7-47C8-B2D5-B417ABBA0BD8}"/>
    <cellStyle name="Comma 38" xfId="669" xr:uid="{65F463E7-AE34-4AA2-B7A3-23A48940C2F8}"/>
    <cellStyle name="Comma 38 2" xfId="1005" xr:uid="{CB08BC0B-2D9B-4518-935A-0EB95A9BECEC}"/>
    <cellStyle name="Comma 38 2 2" xfId="2603" xr:uid="{ECC0D68C-20E3-4372-98C8-0FF71B722EF2}"/>
    <cellStyle name="Comma 38 3" xfId="1195" xr:uid="{F9806852-9DF8-4521-8018-CCE9B60F2B20}"/>
    <cellStyle name="Comma 38 3 2" xfId="2793" xr:uid="{A3579FD7-EE26-45BC-AECD-D43BA37E42C0}"/>
    <cellStyle name="Comma 38 4" xfId="1685" xr:uid="{45C46C8C-149E-487A-BBC3-94813358D40E}"/>
    <cellStyle name="Comma 38 4 2" xfId="2983" xr:uid="{287330C5-BC23-42B0-8026-6B90628ADDE6}"/>
    <cellStyle name="Comma 38 5" xfId="2393" xr:uid="{8ADAD61B-3FAD-4653-B05F-A46B36DBA6ED}"/>
    <cellStyle name="Comma 38 6" xfId="1903" xr:uid="{E4C502BF-BE24-4718-8F70-1AA50EB21845}"/>
    <cellStyle name="Comma 39" xfId="717" xr:uid="{5D9DB02D-D7F3-44D6-AEF4-D372E7797CFC}"/>
    <cellStyle name="Comma 39 2" xfId="1006" xr:uid="{85CC5F2F-FF83-430A-A62D-305CEC19D41B}"/>
    <cellStyle name="Comma 39 2 2" xfId="2604" xr:uid="{C142216B-7642-4C86-841C-1A131DC4FB8D}"/>
    <cellStyle name="Comma 39 3" xfId="1196" xr:uid="{3665B8A5-9337-47A2-8503-9609A1E3C761}"/>
    <cellStyle name="Comma 39 3 2" xfId="2794" xr:uid="{90D8BC24-EF97-4547-91BE-0F54301A8F1D}"/>
    <cellStyle name="Comma 39 4" xfId="1690" xr:uid="{84EEAC1B-21BE-493B-85E8-338D25F455D9}"/>
    <cellStyle name="Comma 39 4 2" xfId="2984" xr:uid="{6D19C90B-8394-46D9-8191-7E64A31C1C16}"/>
    <cellStyle name="Comma 39 5" xfId="2398" xr:uid="{2A7B388D-8FF6-4E71-AC70-9B519A522EAE}"/>
    <cellStyle name="Comma 39 6" xfId="1904" xr:uid="{D91F4EE6-2888-48D2-978E-BDB7EC079470}"/>
    <cellStyle name="Comma 4" xfId="163" xr:uid="{DAE9EF67-6EA8-44A6-9591-E02CBAE07CEE}"/>
    <cellStyle name="Comma 4 10" xfId="1835" xr:uid="{06F8017C-BFD5-4284-95BC-6756445D8CC1}"/>
    <cellStyle name="Comma 4 2" xfId="164" xr:uid="{D122ABB4-2AB3-4D3A-B65E-00216A41FD2D}"/>
    <cellStyle name="Comma 4 2 2" xfId="165" xr:uid="{817C7D2B-82DC-4880-ADA9-2119C3347F4D}"/>
    <cellStyle name="Comma 4 2 2 2" xfId="166" xr:uid="{841B046C-D169-4154-BDC1-1CE9D262B24C}"/>
    <cellStyle name="Comma 4 2 2 2 2" xfId="940" xr:uid="{EF0D5B27-1A23-4178-8BB1-AF976F6D7884}"/>
    <cellStyle name="Comma 4 2 2 2 2 2" xfId="2538" xr:uid="{67E30271-7F92-4278-AECB-C17A9F422E2F}"/>
    <cellStyle name="Comma 4 2 2 2 3" xfId="1130" xr:uid="{AC6574DD-6EE5-4ECA-96E3-A134F7FA3CDE}"/>
    <cellStyle name="Comma 4 2 2 2 3 2" xfId="2728" xr:uid="{1D78CA30-3D75-4078-B318-32CD9B199DF4}"/>
    <cellStyle name="Comma 4 2 2 2 4" xfId="1321" xr:uid="{E0536D18-8E73-456C-B0CC-64138A0B1E76}"/>
    <cellStyle name="Comma 4 2 2 2 4 2" xfId="2918" xr:uid="{51EDA05F-8272-4BE2-B125-ED580F71C767}"/>
    <cellStyle name="Comma 4 2 2 2 5" xfId="2029" xr:uid="{C6678571-2069-44A7-BBBE-4DFA67B4F94D}"/>
    <cellStyle name="Comma 4 2 2 2 6" xfId="1838" xr:uid="{BDBA53C6-75A6-4C2B-871D-76162A1D36AA}"/>
    <cellStyle name="Comma 4 2 2 3" xfId="939" xr:uid="{240CDB60-78F1-4C31-87C5-4DA67AC37170}"/>
    <cellStyle name="Comma 4 2 2 3 2" xfId="2537" xr:uid="{76AF04DB-C9A0-4821-875B-5637A63C592C}"/>
    <cellStyle name="Comma 4 2 2 4" xfId="1129" xr:uid="{1375EDA1-45B7-4532-B06E-4F7C5712ECE2}"/>
    <cellStyle name="Comma 4 2 2 4 2" xfId="2727" xr:uid="{294AA05E-E249-4C6C-8A75-96E90F368EE2}"/>
    <cellStyle name="Comma 4 2 2 5" xfId="1320" xr:uid="{68043C70-8307-4D7C-87B1-0AC046A77584}"/>
    <cellStyle name="Comma 4 2 2 5 2" xfId="2917" xr:uid="{B3B3D833-3360-42D9-9296-E3235BB4318A}"/>
    <cellStyle name="Comma 4 2 2 6" xfId="2028" xr:uid="{0646EF43-1DCE-4E77-B96E-B5300E39F5AD}"/>
    <cellStyle name="Comma 4 2 2 7" xfId="1837" xr:uid="{DAB58065-F752-41FA-8C5B-B2A22C46C177}"/>
    <cellStyle name="Comma 4 2 3" xfId="167" xr:uid="{98296141-5C51-4B4F-A61D-2CC8451510DD}"/>
    <cellStyle name="Comma 4 2 3 2" xfId="941" xr:uid="{E1B42C85-8AE5-453F-B5CC-A09F9191ACE8}"/>
    <cellStyle name="Comma 4 2 3 2 2" xfId="2539" xr:uid="{5C80FF9A-E49D-497E-A262-92C2EDF7BF7C}"/>
    <cellStyle name="Comma 4 2 3 3" xfId="1131" xr:uid="{B79BBA5F-82F8-4F7C-8D5E-40CCB1698427}"/>
    <cellStyle name="Comma 4 2 3 3 2" xfId="2729" xr:uid="{A0DD2974-BF97-416D-9566-E6BA7C4DCE10}"/>
    <cellStyle name="Comma 4 2 3 4" xfId="1322" xr:uid="{6B1F856A-540A-4709-989E-83C50F5869C4}"/>
    <cellStyle name="Comma 4 2 3 4 2" xfId="2919" xr:uid="{E28C2430-97B0-4BC1-A878-2AD4CCB3911C}"/>
    <cellStyle name="Comma 4 2 3 5" xfId="2030" xr:uid="{71A7CBA4-F453-49D9-8E93-1BA5B141B745}"/>
    <cellStyle name="Comma 4 2 3 6" xfId="1839" xr:uid="{62A7BB0C-FBF6-44EC-80B0-79702805C6E6}"/>
    <cellStyle name="Comma 4 2 4" xfId="938" xr:uid="{0458DF0E-B588-4FDA-8F77-C412B24FC589}"/>
    <cellStyle name="Comma 4 2 4 2" xfId="2536" xr:uid="{9192B443-0485-4C5A-A6E6-A25D7CB5AFB3}"/>
    <cellStyle name="Comma 4 2 5" xfId="1128" xr:uid="{3F9612D2-E74E-494F-93ED-2BA75B1E3CD7}"/>
    <cellStyle name="Comma 4 2 5 2" xfId="2726" xr:uid="{0D127E01-9C11-4AAE-9F04-69287267B8D0}"/>
    <cellStyle name="Comma 4 2 6" xfId="1319" xr:uid="{D6A53A30-3D6F-4944-ACEE-7CE5574865D3}"/>
    <cellStyle name="Comma 4 2 6 2" xfId="2916" xr:uid="{4D37CBB7-C0C5-4082-BD48-F03A47FE6E2D}"/>
    <cellStyle name="Comma 4 2 7" xfId="2027" xr:uid="{AA93FB2F-9100-4EF7-B7D3-E42A01F7B408}"/>
    <cellStyle name="Comma 4 2 8" xfId="1836" xr:uid="{A1803365-89F1-4BF4-8994-9DDD0DB38E35}"/>
    <cellStyle name="Comma 4 3" xfId="168" xr:uid="{861639C3-7300-4878-998A-1E9852C446CC}"/>
    <cellStyle name="Comma 4 3 2" xfId="169" xr:uid="{EC5A561F-E47A-4331-A655-64278F0951C8}"/>
    <cellStyle name="Comma 4 3 2 2" xfId="943" xr:uid="{5B4B7C1F-D671-4082-B365-CD985E53EBF4}"/>
    <cellStyle name="Comma 4 3 2 2 2" xfId="2541" xr:uid="{81692EE0-E23D-4AC7-A926-7A42CB6D20B0}"/>
    <cellStyle name="Comma 4 3 2 3" xfId="1133" xr:uid="{F49863ED-6946-4EB2-A3EA-E7FF636A9F15}"/>
    <cellStyle name="Comma 4 3 2 3 2" xfId="2731" xr:uid="{635F0884-979E-4A62-913F-E8CA82716B08}"/>
    <cellStyle name="Comma 4 3 2 4" xfId="1324" xr:uid="{17B2F47C-22EB-4DF6-9DA0-C4FE69E98330}"/>
    <cellStyle name="Comma 4 3 2 4 2" xfId="2921" xr:uid="{FBE2273B-8116-4F29-B0DE-C875691A4D49}"/>
    <cellStyle name="Comma 4 3 2 5" xfId="2032" xr:uid="{9A7B72C4-148C-4FEE-8576-CA3AF8F09032}"/>
    <cellStyle name="Comma 4 3 2 6" xfId="1841" xr:uid="{B4F17B9E-8A93-4780-B209-9E8C731552C1}"/>
    <cellStyle name="Comma 4 3 3" xfId="942" xr:uid="{BDEE259B-97A5-4236-BC14-75C381048975}"/>
    <cellStyle name="Comma 4 3 3 2" xfId="2540" xr:uid="{2AF6D759-91E4-4889-B499-C111A166F819}"/>
    <cellStyle name="Comma 4 3 4" xfId="1132" xr:uid="{11EEC253-DD1D-4AFD-91C8-E10D0BA04F1E}"/>
    <cellStyle name="Comma 4 3 4 2" xfId="2730" xr:uid="{B2B55CC8-5523-4C36-AAA5-5482B1CAC897}"/>
    <cellStyle name="Comma 4 3 5" xfId="1323" xr:uid="{40F6251A-40D7-4E0A-A24E-6601F901B7F8}"/>
    <cellStyle name="Comma 4 3 5 2" xfId="2920" xr:uid="{B035E1F4-0F5B-46AF-8D7A-E02DFAFB4103}"/>
    <cellStyle name="Comma 4 3 6" xfId="2031" xr:uid="{D41DA3C0-5EFE-42EB-8412-620E1CCBB006}"/>
    <cellStyle name="Comma 4 3 7" xfId="1840" xr:uid="{68485B53-A8C5-4A75-B3D7-EF9893FB09F5}"/>
    <cellStyle name="Comma 4 4" xfId="170" xr:uid="{89E2E29B-A2B4-4FBE-BE06-55663033537C}"/>
    <cellStyle name="Comma 4 4 2" xfId="944" xr:uid="{3EDCCE06-A861-455F-A1ED-06BB803C764E}"/>
    <cellStyle name="Comma 4 4 2 2" xfId="2542" xr:uid="{1C47CE41-6C90-4007-A3C6-23C79F43DCA9}"/>
    <cellStyle name="Comma 4 4 3" xfId="1134" xr:uid="{123A19E2-52EE-4C2E-9078-0CD80E89DC90}"/>
    <cellStyle name="Comma 4 4 3 2" xfId="2732" xr:uid="{154E840A-11BA-4C5A-9AAE-904C712096F9}"/>
    <cellStyle name="Comma 4 4 4" xfId="1325" xr:uid="{333F9C4F-8047-493A-9EBB-3DEA20A8804F}"/>
    <cellStyle name="Comma 4 4 4 2" xfId="2922" xr:uid="{BAE37FBE-2B1A-4461-AE63-5A98F9C41298}"/>
    <cellStyle name="Comma 4 4 5" xfId="2033" xr:uid="{8624176A-6F5B-42A0-BC64-311DD9594668}"/>
    <cellStyle name="Comma 4 4 6" xfId="1842" xr:uid="{0A6FC4DF-02A1-475A-8609-39C3EF642EF8}"/>
    <cellStyle name="Comma 4 5" xfId="937" xr:uid="{25102E04-2F66-40C5-B94E-BE419B3EBD17}"/>
    <cellStyle name="Comma 4 5 2" xfId="2535" xr:uid="{2DD146D4-4B3B-41EB-A3F3-37967CA4DCA2}"/>
    <cellStyle name="Comma 4 6" xfId="1127" xr:uid="{F9FA6F9D-F2C0-40AC-B058-1EBFB18D99DA}"/>
    <cellStyle name="Comma 4 6 2" xfId="2725" xr:uid="{35D0C1CB-B5E6-49D6-BEE0-24316D8D65A8}"/>
    <cellStyle name="Comma 4 7" xfId="1318" xr:uid="{130AA03A-EF6B-4573-A6FE-D3015302C075}"/>
    <cellStyle name="Comma 4 7 2" xfId="2915" xr:uid="{8BFCEDBE-F384-44DA-8CF3-E2C6BB5395C4}"/>
    <cellStyle name="Comma 4 8" xfId="1718" xr:uid="{C0B6A43E-80E8-4BC0-998D-7EE440614DF1}"/>
    <cellStyle name="Comma 4 8 2" xfId="2997" xr:uid="{F16B0494-7870-4716-B7AF-7355E6300ACD}"/>
    <cellStyle name="Comma 4 9" xfId="2026" xr:uid="{A237634F-0C1C-4BC0-806C-8AF02403BC41}"/>
    <cellStyle name="Comma 40" xfId="814" xr:uid="{F540937B-1B50-42A5-B94D-8995E2A12D7E}"/>
    <cellStyle name="Comma 40 2" xfId="1007" xr:uid="{5A396697-C2CB-46EE-BD27-B10E0EE7CCE6}"/>
    <cellStyle name="Comma 40 2 2" xfId="2605" xr:uid="{2F43B8CB-75C1-4922-8311-16A6818B48EB}"/>
    <cellStyle name="Comma 40 3" xfId="1197" xr:uid="{C86A38F4-CC8F-4DB8-BF41-8986DBC552DB}"/>
    <cellStyle name="Comma 40 3 2" xfId="2795" xr:uid="{E959EFE6-4785-4F70-88FD-E4176407F70E}"/>
    <cellStyle name="Comma 40 4" xfId="1705" xr:uid="{42AAB389-23C4-48CE-B426-5ED8993A608C}"/>
    <cellStyle name="Comma 40 4 2" xfId="2985" xr:uid="{06B8D3F4-5259-4AA0-8AB4-981BE4D1594E}"/>
    <cellStyle name="Comma 40 5" xfId="2413" xr:uid="{75879059-5ACD-4E55-B6CC-DD5A92D944A5}"/>
    <cellStyle name="Comma 40 6" xfId="1905" xr:uid="{8EC2A408-0D79-4CA7-8632-16698CE0065B}"/>
    <cellStyle name="Comma 41" xfId="817" xr:uid="{A9AC6DEE-4628-4E28-8023-065EA257D6E8}"/>
    <cellStyle name="Comma 41 2" xfId="1008" xr:uid="{83188440-C2D3-4AC6-AEB2-0B5ABA4B31D7}"/>
    <cellStyle name="Comma 41 2 2" xfId="2606" xr:uid="{0E4BF96D-FBB0-42E1-A9A0-29C2EF487B5E}"/>
    <cellStyle name="Comma 41 3" xfId="1198" xr:uid="{86918E7A-039A-4FFA-8E16-6712B85DD21E}"/>
    <cellStyle name="Comma 41 3 2" xfId="2796" xr:uid="{2BB99D79-52B5-4C9C-8C87-264E5BD878E0}"/>
    <cellStyle name="Comma 41 4" xfId="1707" xr:uid="{2D4FB0E7-7596-4F6D-A843-6F306F449765}"/>
    <cellStyle name="Comma 41 4 2" xfId="2986" xr:uid="{590BD284-0DD7-49FC-AD31-B1682EA33900}"/>
    <cellStyle name="Comma 41 5" xfId="2415" xr:uid="{B7851C89-7E5E-4E7D-A5D3-50F7A62B5B02}"/>
    <cellStyle name="Comma 41 6" xfId="1906" xr:uid="{2EBB5865-E3D6-426C-BC90-28C7486B2A61}"/>
    <cellStyle name="Comma 42" xfId="818" xr:uid="{37850E69-3575-41A2-917B-3415F4E6F5B4}"/>
    <cellStyle name="Comma 42 2" xfId="1009" xr:uid="{82800E31-729B-4E5D-8502-D791C34F5F60}"/>
    <cellStyle name="Comma 42 2 2" xfId="2607" xr:uid="{0FA4CF32-3786-4310-8F7C-24B114A4C642}"/>
    <cellStyle name="Comma 42 3" xfId="1199" xr:uid="{3CE455D1-531F-451C-B328-377FAAD81557}"/>
    <cellStyle name="Comma 42 3 2" xfId="2797" xr:uid="{1CFD8AAE-FF49-42B3-AEE2-12725BA8E216}"/>
    <cellStyle name="Comma 42 4" xfId="1708" xr:uid="{CDC762DB-7356-4284-9F62-A02F8D70867F}"/>
    <cellStyle name="Comma 42 4 2" xfId="2987" xr:uid="{AD834785-25D0-4A91-B663-936A91F3FDD2}"/>
    <cellStyle name="Comma 42 5" xfId="2416" xr:uid="{2C0B6FFD-3D9B-4393-B188-64CFF324D8E7}"/>
    <cellStyle name="Comma 42 6" xfId="1907" xr:uid="{9C3141E1-1770-48A1-B5CB-109BB8CD82AB}"/>
    <cellStyle name="Comma 43" xfId="51" xr:uid="{63A694F8-9070-4DB4-B448-754192FD769B}"/>
    <cellStyle name="Comma 43 2" xfId="825" xr:uid="{8CED442A-4F07-40FB-B64C-751ACCFA1749}"/>
    <cellStyle name="Comma 43 2 2" xfId="2423" xr:uid="{3FD22B86-B0C7-4C48-9101-602BF16D186D}"/>
    <cellStyle name="Comma 43 3" xfId="1015" xr:uid="{F2D114D3-296F-4060-90DD-73A37453442B}"/>
    <cellStyle name="Comma 43 3 2" xfId="2613" xr:uid="{E7A6A917-358C-4BED-989A-65897DED05CD}"/>
    <cellStyle name="Comma 43 4" xfId="1206" xr:uid="{1293D0EC-8212-4063-A6BE-85DA9915ABCC}"/>
    <cellStyle name="Comma 43 4 2" xfId="2803" xr:uid="{24C86A44-04E7-42A9-924D-D55366E114D5}"/>
    <cellStyle name="Comma 43 5" xfId="1914" xr:uid="{D3AFCA18-3846-4E49-A3A8-8A0F1FC6D6FD}"/>
    <cellStyle name="Comma 43 6" xfId="1723" xr:uid="{461E8CEE-D047-4947-9503-28093E6CB2A1}"/>
    <cellStyle name="Comma 44" xfId="819" xr:uid="{A2225D0E-2638-4E2B-A92E-D2A8431AEA73}"/>
    <cellStyle name="Comma 44 2" xfId="1010" xr:uid="{3B424963-2B82-40E8-9564-95312534E6F7}"/>
    <cellStyle name="Comma 44 2 2" xfId="2608" xr:uid="{050BF234-C711-493C-BA36-5BC75B6752DD}"/>
    <cellStyle name="Comma 44 3" xfId="1200" xr:uid="{F04F86B4-9D88-488D-A605-AF4DEE446720}"/>
    <cellStyle name="Comma 44 3 2" xfId="2798" xr:uid="{F90C17C0-91FE-4CD7-9D01-D4738F566496}"/>
    <cellStyle name="Comma 44 4" xfId="1709" xr:uid="{67ABAD1A-8A25-45E0-A331-33A89EA1B369}"/>
    <cellStyle name="Comma 44 4 2" xfId="2988" xr:uid="{A7B97007-9A6B-492B-B81E-83678C25EFEA}"/>
    <cellStyle name="Comma 44 5" xfId="2417" xr:uid="{071D7DFD-B21B-4F23-93D6-8BB79C012C05}"/>
    <cellStyle name="Comma 44 6" xfId="1908" xr:uid="{DDDB6CCF-8402-46F4-95D1-66FEC27CE154}"/>
    <cellStyle name="Comma 45" xfId="820" xr:uid="{876C2A33-9021-453A-8CBF-038BB0303B9B}"/>
    <cellStyle name="Comma 45 2" xfId="1011" xr:uid="{1D660159-BF86-4D87-B951-8F1A94BE3B91}"/>
    <cellStyle name="Comma 45 2 2" xfId="2609" xr:uid="{685A1C55-77DD-42A0-A256-0A41FC902E01}"/>
    <cellStyle name="Comma 45 3" xfId="1201" xr:uid="{F5F79CD8-0ACF-485E-B531-1273CF220522}"/>
    <cellStyle name="Comma 45 3 2" xfId="2799" xr:uid="{0B73E055-D602-4664-8822-CCEA223B6841}"/>
    <cellStyle name="Comma 45 4" xfId="1710" xr:uid="{C5CE2FF7-3A3F-4D24-A4A8-D424AEA5A6E6}"/>
    <cellStyle name="Comma 45 4 2" xfId="2989" xr:uid="{803C379A-AC9C-4C55-A15D-577E3EAF5AB4}"/>
    <cellStyle name="Comma 45 5" xfId="2418" xr:uid="{8E607FAE-F533-4399-A6A4-E6319F127219}"/>
    <cellStyle name="Comma 45 6" xfId="1909" xr:uid="{A5FBF6B7-1CCB-4685-8868-DA1284C70CB5}"/>
    <cellStyle name="Comma 46" xfId="821" xr:uid="{FA7E16AC-DAEE-40C1-9B8C-CDC4C4E92C61}"/>
    <cellStyle name="Comma 46 2" xfId="2419" xr:uid="{215D066E-EC92-4BB0-93AA-EC7634E427C0}"/>
    <cellStyle name="Comma 47" xfId="822" xr:uid="{BCCDF500-EE68-4FB7-B09B-52A3788E06C9}"/>
    <cellStyle name="Comma 47 2" xfId="2420" xr:uid="{ABF7CDF1-AA8C-4BBC-B3A0-61A395E5D080}"/>
    <cellStyle name="Comma 48" xfId="1012" xr:uid="{A2165D2C-ACB0-4DB5-9897-0A9885F99E2D}"/>
    <cellStyle name="Comma 48 2" xfId="2610" xr:uid="{1A1912EB-D6D5-4FDE-9506-AB515C99498F}"/>
    <cellStyle name="Comma 49" xfId="1202" xr:uid="{7E464B39-F360-4047-A3BE-D1CA56512022}"/>
    <cellStyle name="Comma 49 2" xfId="2800" xr:uid="{BE59D3B6-B1A2-46B1-9138-8548A3D2BE4F}"/>
    <cellStyle name="Comma 5" xfId="171" xr:uid="{236FAA53-F836-4104-B0BE-D40CA0AA668E}"/>
    <cellStyle name="Comma 5 10" xfId="1843" xr:uid="{1307F44C-622E-4E06-BF00-975373D02069}"/>
    <cellStyle name="Comma 5 2" xfId="172" xr:uid="{4ACF2AE8-C12C-48F4-A2F7-D5E88E3C3E38}"/>
    <cellStyle name="Comma 5 2 2" xfId="173" xr:uid="{E31877ED-C667-4951-A7F1-DEC106385D01}"/>
    <cellStyle name="Comma 5 2 2 2" xfId="174" xr:uid="{01B8CDE8-A8AA-4239-8E6F-4714388BF6BA}"/>
    <cellStyle name="Comma 5 2 2 2 2" xfId="948" xr:uid="{2A319D1B-AE08-488F-A703-635D3AEF9663}"/>
    <cellStyle name="Comma 5 2 2 2 2 2" xfId="2546" xr:uid="{0CA1C6F8-1278-4083-9628-AAD3A063139B}"/>
    <cellStyle name="Comma 5 2 2 2 3" xfId="1138" xr:uid="{C77E3611-EE0F-47A7-999D-62AB5CE56FA8}"/>
    <cellStyle name="Comma 5 2 2 2 3 2" xfId="2736" xr:uid="{2A9B3C0B-E28E-466F-80CA-7D95C9D36570}"/>
    <cellStyle name="Comma 5 2 2 2 4" xfId="1329" xr:uid="{1B162168-9B29-4220-B8FE-FA5FCE6614C1}"/>
    <cellStyle name="Comma 5 2 2 2 4 2" xfId="2926" xr:uid="{027BF859-A82C-4DD1-AF44-ED11232F25CF}"/>
    <cellStyle name="Comma 5 2 2 2 5" xfId="2037" xr:uid="{4E0A7501-D0F2-4BF3-BE82-A777F329A28D}"/>
    <cellStyle name="Comma 5 2 2 2 6" xfId="1846" xr:uid="{F44F085B-DA2E-470A-92B9-816D48B079F6}"/>
    <cellStyle name="Comma 5 2 2 3" xfId="947" xr:uid="{B7B19D0D-3206-410C-A964-A70C5BBB61DE}"/>
    <cellStyle name="Comma 5 2 2 3 2" xfId="2545" xr:uid="{55C3D65E-423E-4541-B5B6-756D4BB16B57}"/>
    <cellStyle name="Comma 5 2 2 4" xfId="1137" xr:uid="{CEBA4B9A-8210-468B-BF87-7D0818C31878}"/>
    <cellStyle name="Comma 5 2 2 4 2" xfId="2735" xr:uid="{A107A686-771A-473B-8A5A-2F3CC5D4BAC1}"/>
    <cellStyle name="Comma 5 2 2 5" xfId="1328" xr:uid="{9ED614AC-BF94-42F1-B8EF-6E5531702599}"/>
    <cellStyle name="Comma 5 2 2 5 2" xfId="2925" xr:uid="{3FA36A4B-AD54-4C52-99F0-46A3B4805C84}"/>
    <cellStyle name="Comma 5 2 2 6" xfId="2036" xr:uid="{C0ABC05F-9CC1-482D-88DA-BE73638C3E35}"/>
    <cellStyle name="Comma 5 2 2 7" xfId="1845" xr:uid="{1350CD8C-2EF4-490C-8A84-4C4793EB3729}"/>
    <cellStyle name="Comma 5 2 3" xfId="175" xr:uid="{70712006-F033-4081-B110-78E519D52F4A}"/>
    <cellStyle name="Comma 5 2 3 2" xfId="949" xr:uid="{1F9B31D7-72AF-4AB3-B9A6-718CDFF3E574}"/>
    <cellStyle name="Comma 5 2 3 2 2" xfId="2547" xr:uid="{3A59F2EC-ECED-4612-8B0C-7FC4CE579759}"/>
    <cellStyle name="Comma 5 2 3 3" xfId="1139" xr:uid="{AADDE3A3-A3C2-43EC-B46F-3137CB36205A}"/>
    <cellStyle name="Comma 5 2 3 3 2" xfId="2737" xr:uid="{8DD2B30D-7629-4AE9-A5F2-D16FD6B0BA59}"/>
    <cellStyle name="Comma 5 2 3 4" xfId="1330" xr:uid="{2BBB4A83-EE65-47B0-BAB8-122B1939342A}"/>
    <cellStyle name="Comma 5 2 3 4 2" xfId="2927" xr:uid="{7D089694-D650-4593-A276-B0BE5231E7F1}"/>
    <cellStyle name="Comma 5 2 3 5" xfId="2038" xr:uid="{7EB2D079-2312-43BB-BFD9-10E086799F49}"/>
    <cellStyle name="Comma 5 2 3 6" xfId="1847" xr:uid="{0EE0FD08-0F42-4286-861A-2DF132D2E13E}"/>
    <cellStyle name="Comma 5 2 4" xfId="946" xr:uid="{9D886AE9-A0AC-47FF-809B-FDC85FB80403}"/>
    <cellStyle name="Comma 5 2 4 2" xfId="2544" xr:uid="{2F0C2146-0E5E-4C67-A04B-A98448685BA0}"/>
    <cellStyle name="Comma 5 2 5" xfId="1136" xr:uid="{0A9E380A-3AFE-441B-855F-CEF1341BE386}"/>
    <cellStyle name="Comma 5 2 5 2" xfId="2734" xr:uid="{BD713C8A-CA53-48D1-B7E6-D2CEEB90D5E8}"/>
    <cellStyle name="Comma 5 2 6" xfId="1327" xr:uid="{D8F950EF-730E-445B-BA82-874A16DED588}"/>
    <cellStyle name="Comma 5 2 6 2" xfId="2924" xr:uid="{EBA2D418-C696-416B-A6CC-3C6C704D075A}"/>
    <cellStyle name="Comma 5 2 7" xfId="2035" xr:uid="{1115838E-40F5-40D4-A438-98477CC9E612}"/>
    <cellStyle name="Comma 5 2 8" xfId="1844" xr:uid="{1167175A-A5B6-4F8C-93B0-CA7D0178EA2A}"/>
    <cellStyle name="Comma 5 3" xfId="176" xr:uid="{9C3AF054-A427-420C-BA4E-E70796E1B73B}"/>
    <cellStyle name="Comma 5 3 2" xfId="177" xr:uid="{5AA07821-B65A-42E5-8E6F-7A81A477FE4B}"/>
    <cellStyle name="Comma 5 3 2 2" xfId="951" xr:uid="{EA6533CC-BFE5-444C-B67C-30ABE0B5DBBA}"/>
    <cellStyle name="Comma 5 3 2 2 2" xfId="2549" xr:uid="{576C1EEB-1F70-4680-9B73-1AC2E781BA4F}"/>
    <cellStyle name="Comma 5 3 2 3" xfId="1141" xr:uid="{BA38008A-4A19-413B-841A-12B345AA85B4}"/>
    <cellStyle name="Comma 5 3 2 3 2" xfId="2739" xr:uid="{83BE2B90-C7BB-41B7-BBC0-423BF367028E}"/>
    <cellStyle name="Comma 5 3 2 4" xfId="1332" xr:uid="{070C7410-A985-439B-97DD-2C176A660B38}"/>
    <cellStyle name="Comma 5 3 2 4 2" xfId="2929" xr:uid="{D3199D4E-D92A-4B82-B591-7DC16EF8CC4A}"/>
    <cellStyle name="Comma 5 3 2 5" xfId="2040" xr:uid="{95E1D329-A4D9-4750-9B95-C345CDB45DF9}"/>
    <cellStyle name="Comma 5 3 2 6" xfId="1849" xr:uid="{DE472045-5DB2-4A7F-B92A-2783B3CB9B5E}"/>
    <cellStyle name="Comma 5 3 3" xfId="950" xr:uid="{B91FA2D6-033C-40D8-96CA-0E4D08F9B10F}"/>
    <cellStyle name="Comma 5 3 3 2" xfId="2548" xr:uid="{27FAD3A3-701E-41FC-839C-4E6C916AEBBE}"/>
    <cellStyle name="Comma 5 3 4" xfId="1140" xr:uid="{AA6A4D1C-DA5B-4E06-9D51-572DBCD7697B}"/>
    <cellStyle name="Comma 5 3 4 2" xfId="2738" xr:uid="{1F3C4D50-9564-40A0-B134-14323FE31EFE}"/>
    <cellStyle name="Comma 5 3 5" xfId="1331" xr:uid="{92AC52EE-B026-444C-BC6C-9252863A9BBF}"/>
    <cellStyle name="Comma 5 3 5 2" xfId="2928" xr:uid="{C997184E-441E-4DD8-A437-6D54A1C06AB7}"/>
    <cellStyle name="Comma 5 3 6" xfId="2039" xr:uid="{C9590847-E651-4CD2-BA66-115F9CE9B359}"/>
    <cellStyle name="Comma 5 3 7" xfId="1848" xr:uid="{83953124-E151-403A-A0B5-C0C7D0B55543}"/>
    <cellStyle name="Comma 5 4" xfId="178" xr:uid="{D98DB3B8-8E08-4BE4-84E0-93C721BD58FE}"/>
    <cellStyle name="Comma 5 4 2" xfId="952" xr:uid="{61BD1696-5DBC-416F-8D69-DED64AEE02B7}"/>
    <cellStyle name="Comma 5 4 2 2" xfId="2550" xr:uid="{AC35EC1F-1519-43B5-B1AA-47AE7B8A1C8B}"/>
    <cellStyle name="Comma 5 4 3" xfId="1142" xr:uid="{6F75D2AD-2D7E-43C1-A2A2-C9CD37B88083}"/>
    <cellStyle name="Comma 5 4 3 2" xfId="2740" xr:uid="{4DAD95B9-2F92-4B27-BE15-40C9C486561A}"/>
    <cellStyle name="Comma 5 4 4" xfId="1333" xr:uid="{E1FBB5F8-6D64-4907-958C-C0E1E0994ECB}"/>
    <cellStyle name="Comma 5 4 4 2" xfId="2930" xr:uid="{24438E02-F8C3-4077-8032-97B1A3AD9539}"/>
    <cellStyle name="Comma 5 4 5" xfId="2041" xr:uid="{D1F65034-AD97-491A-9BEE-1775FBE71F47}"/>
    <cellStyle name="Comma 5 4 6" xfId="1850" xr:uid="{BCFD6911-8CD8-4C4B-AD54-8D74D033B81C}"/>
    <cellStyle name="Comma 5 5" xfId="945" xr:uid="{D0C72AB1-1544-4CFB-9227-B71A3DAD811D}"/>
    <cellStyle name="Comma 5 5 2" xfId="2543" xr:uid="{5AB5E5FC-261F-49DC-9DC9-5AD61CC4ED39}"/>
    <cellStyle name="Comma 5 6" xfId="1135" xr:uid="{9FA46ED2-D817-48CB-8EAE-7E75DF619B1D}"/>
    <cellStyle name="Comma 5 6 2" xfId="2733" xr:uid="{122C2E09-8E1D-483E-BF1E-4A46D21E419A}"/>
    <cellStyle name="Comma 5 7" xfId="1326" xr:uid="{498289CB-B8A4-4803-8B24-8DB44C2A64D6}"/>
    <cellStyle name="Comma 5 7 2" xfId="2923" xr:uid="{861E0B45-A2F9-4A7D-BDDC-E0563711DB1E}"/>
    <cellStyle name="Comma 5 8" xfId="1719" xr:uid="{85E01BD3-0364-4E46-BF18-11009DA53AF8}"/>
    <cellStyle name="Comma 5 8 2" xfId="2998" xr:uid="{11C6AF3A-6871-49BA-95AF-1FC1883A2A0F}"/>
    <cellStyle name="Comma 5 9" xfId="2034" xr:uid="{FF0799E8-AE5C-4025-9305-ABE94A996EFD}"/>
    <cellStyle name="Comma 50" xfId="1712" xr:uid="{BF67798D-6C34-4D76-9DDE-CF6CA6769C82}"/>
    <cellStyle name="Comma 50 2" xfId="2991" xr:uid="{190FE3AB-A00E-4D45-8802-C37071370168}"/>
    <cellStyle name="Comma 51" xfId="1910" xr:uid="{4CF4538A-6530-4B35-8C92-CBD070D10F27}"/>
    <cellStyle name="Comma 52" xfId="3010" xr:uid="{ED6115AE-7F87-4A54-8A70-D26EF1477957}"/>
    <cellStyle name="Comma 53" xfId="1720" xr:uid="{2ECD73B2-8A63-48A1-99B6-8E137083D817}"/>
    <cellStyle name="Comma 6" xfId="179" xr:uid="{B75C7759-A401-42C1-81E1-6F76204CAA1F}"/>
    <cellStyle name="Comma 6 10" xfId="1851" xr:uid="{00ABEE01-ED9F-43AE-888C-1331A9E4AF8C}"/>
    <cellStyle name="Comma 6 2" xfId="180" xr:uid="{286A121A-F3B1-44C5-A580-93A837E9B91F}"/>
    <cellStyle name="Comma 6 2 2" xfId="181" xr:uid="{DBEEBFE1-80C1-4F9C-ADE8-9F21CC2294B7}"/>
    <cellStyle name="Comma 6 2 2 2" xfId="182" xr:uid="{DC27103E-455F-4D9E-A246-019D9522F738}"/>
    <cellStyle name="Comma 6 2 2 2 2" xfId="956" xr:uid="{81A2083D-A54B-4C55-8371-892187868C35}"/>
    <cellStyle name="Comma 6 2 2 2 2 2" xfId="2554" xr:uid="{A8826DE6-5F5D-4FF0-85F6-8D6CC319A2FB}"/>
    <cellStyle name="Comma 6 2 2 2 3" xfId="1146" xr:uid="{16936A09-9FE1-4FDF-8C15-2828F3397E2D}"/>
    <cellStyle name="Comma 6 2 2 2 3 2" xfId="2744" xr:uid="{6161D454-1BA9-407F-8C16-EAFE8A4B6C02}"/>
    <cellStyle name="Comma 6 2 2 2 4" xfId="1337" xr:uid="{7F72333D-389F-4369-9E26-D4EC8572E49D}"/>
    <cellStyle name="Comma 6 2 2 2 4 2" xfId="2934" xr:uid="{DFA70CE9-3537-42E4-AF4E-6C1783825A13}"/>
    <cellStyle name="Comma 6 2 2 2 5" xfId="2045" xr:uid="{E846E898-EC1D-40ED-A651-A0A557E3921A}"/>
    <cellStyle name="Comma 6 2 2 2 6" xfId="1854" xr:uid="{21EF6EA8-A4D2-46A3-B9E8-4A45BA99053F}"/>
    <cellStyle name="Comma 6 2 2 3" xfId="955" xr:uid="{0240DCDF-F2DC-46D0-8BD3-5A93FEC45736}"/>
    <cellStyle name="Comma 6 2 2 3 2" xfId="2553" xr:uid="{D6B88659-0B63-4589-A186-54E4D39F43BF}"/>
    <cellStyle name="Comma 6 2 2 4" xfId="1145" xr:uid="{AB2346CD-74F5-44C2-8ECA-10688139ACF9}"/>
    <cellStyle name="Comma 6 2 2 4 2" xfId="2743" xr:uid="{C672EF0D-5D0D-4F63-AEF2-7F5BF6567E7E}"/>
    <cellStyle name="Comma 6 2 2 5" xfId="1336" xr:uid="{8B4AA8B5-7D8A-4A79-8FE6-18EF2A3E3306}"/>
    <cellStyle name="Comma 6 2 2 5 2" xfId="2933" xr:uid="{BC142EB7-CAD2-4D11-A443-6BC42E91E91E}"/>
    <cellStyle name="Comma 6 2 2 6" xfId="2044" xr:uid="{32EAFF8B-EC85-4482-A696-C43ABA5175A6}"/>
    <cellStyle name="Comma 6 2 2 7" xfId="1853" xr:uid="{AA9B42CC-8B32-4385-B121-700C16D93DF2}"/>
    <cellStyle name="Comma 6 2 3" xfId="183" xr:uid="{FF1855E7-2DF6-4380-8B4C-38E359EDD552}"/>
    <cellStyle name="Comma 6 2 3 2" xfId="957" xr:uid="{6F9EFDF2-AC84-471A-903D-1D82B9C73779}"/>
    <cellStyle name="Comma 6 2 3 2 2" xfId="2555" xr:uid="{487FE184-4C96-456B-9BB9-E0574CA7E582}"/>
    <cellStyle name="Comma 6 2 3 3" xfId="1147" xr:uid="{6C764446-CF38-4107-B635-76AE03525A8F}"/>
    <cellStyle name="Comma 6 2 3 3 2" xfId="2745" xr:uid="{0B494CD0-D31B-4813-B8DB-7B35E6456B1F}"/>
    <cellStyle name="Comma 6 2 3 4" xfId="1338" xr:uid="{1D39AEC8-AFE5-44B6-91E9-6D2020BAB72B}"/>
    <cellStyle name="Comma 6 2 3 4 2" xfId="2935" xr:uid="{37DB6CC1-DDCA-4381-8AAE-8DD1D9D8F0C7}"/>
    <cellStyle name="Comma 6 2 3 5" xfId="2046" xr:uid="{1449D93B-4D66-4E3F-AE1D-B28C15499E8C}"/>
    <cellStyle name="Comma 6 2 3 6" xfId="1855" xr:uid="{E4D436A2-11D2-4851-92EE-19F663DE08C4}"/>
    <cellStyle name="Comma 6 2 4" xfId="954" xr:uid="{3168C766-C46E-456F-8CA7-C2F0FB40759A}"/>
    <cellStyle name="Comma 6 2 4 2" xfId="2552" xr:uid="{917A5C05-5586-4173-B784-0CC396E3D9B6}"/>
    <cellStyle name="Comma 6 2 5" xfId="1144" xr:uid="{1BDBCED7-A743-4E7C-B8CE-274AFF5C46FA}"/>
    <cellStyle name="Comma 6 2 5 2" xfId="2742" xr:uid="{B0A15B1E-25CD-4644-AC04-B17F5290220F}"/>
    <cellStyle name="Comma 6 2 6" xfId="1335" xr:uid="{A7F3BE94-CC4B-42E8-97CB-F5037149515C}"/>
    <cellStyle name="Comma 6 2 6 2" xfId="2932" xr:uid="{BAE7BDF6-2C67-4B22-BAE9-0130EE9FDDE4}"/>
    <cellStyle name="Comma 6 2 7" xfId="2043" xr:uid="{9D0ACF70-44D6-4FD2-94C8-7B144C81D933}"/>
    <cellStyle name="Comma 6 2 8" xfId="1852" xr:uid="{7E0A875D-EAC3-4995-9F1C-A2D02F111F3B}"/>
    <cellStyle name="Comma 6 3" xfId="184" xr:uid="{4D01D32F-2050-4D26-ACAB-871E48EEF4F1}"/>
    <cellStyle name="Comma 6 3 2" xfId="185" xr:uid="{C0213524-5DE4-45CC-85CC-95A0BCD7BC4F}"/>
    <cellStyle name="Comma 6 3 2 2" xfId="959" xr:uid="{00471A0B-DA96-499C-8A52-E3E679AB1948}"/>
    <cellStyle name="Comma 6 3 2 2 2" xfId="2557" xr:uid="{3FDB00F3-6227-40D3-81AF-CA4360302C2F}"/>
    <cellStyle name="Comma 6 3 2 3" xfId="1149" xr:uid="{9D72DDEE-A50C-4DA0-908D-B747DCA5D4A7}"/>
    <cellStyle name="Comma 6 3 2 3 2" xfId="2747" xr:uid="{624512E2-1CE2-4DE3-A3C1-EB48FEC789D2}"/>
    <cellStyle name="Comma 6 3 2 4" xfId="1340" xr:uid="{00D83277-3CD8-4C17-94F4-468688C1949A}"/>
    <cellStyle name="Comma 6 3 2 4 2" xfId="2937" xr:uid="{2369F73A-AED5-4258-8372-AF1EE17D51DE}"/>
    <cellStyle name="Comma 6 3 2 5" xfId="2048" xr:uid="{1FCF189D-2759-4736-9290-7081C4369A81}"/>
    <cellStyle name="Comma 6 3 2 6" xfId="1857" xr:uid="{5E706C89-1349-4EC7-8D60-164BBE114A66}"/>
    <cellStyle name="Comma 6 3 3" xfId="958" xr:uid="{0522D95F-FCAB-46FD-B46F-491C98201511}"/>
    <cellStyle name="Comma 6 3 3 2" xfId="2556" xr:uid="{19323FE5-93C3-4437-BA6F-6E69BB6F628B}"/>
    <cellStyle name="Comma 6 3 4" xfId="1148" xr:uid="{5319BD7E-CC10-41DA-90AF-250B6A142E93}"/>
    <cellStyle name="Comma 6 3 4 2" xfId="2746" xr:uid="{F8626D74-CFB3-4963-A83E-6C7F7A4CAD85}"/>
    <cellStyle name="Comma 6 3 5" xfId="1339" xr:uid="{A72A9F73-4156-45D4-B408-FAFF81A529B4}"/>
    <cellStyle name="Comma 6 3 5 2" xfId="2936" xr:uid="{AF56B63D-CE05-4D4C-92A2-AF3EA021DD40}"/>
    <cellStyle name="Comma 6 3 6" xfId="2047" xr:uid="{79824A93-425F-473F-A5F1-1915190C83B3}"/>
    <cellStyle name="Comma 6 3 7" xfId="1856" xr:uid="{0043BCD8-BDC7-4752-951C-76A3C4DD2B04}"/>
    <cellStyle name="Comma 6 4" xfId="186" xr:uid="{4803DB27-3786-4851-815F-BF093B7CA0A8}"/>
    <cellStyle name="Comma 6 4 2" xfId="960" xr:uid="{EFE5A847-3F97-4188-B037-290F200E7B85}"/>
    <cellStyle name="Comma 6 4 2 2" xfId="2558" xr:uid="{5652947D-7864-474A-B477-65F642B81B61}"/>
    <cellStyle name="Comma 6 4 3" xfId="1150" xr:uid="{C203DF56-A5C1-48D5-A3B2-C1A99B7AD0D4}"/>
    <cellStyle name="Comma 6 4 3 2" xfId="2748" xr:uid="{D6565862-9D1A-4079-8DC7-A404D0DB9C8B}"/>
    <cellStyle name="Comma 6 4 4" xfId="1341" xr:uid="{37DC436F-504B-417C-82CB-3C03CE8F0BFB}"/>
    <cellStyle name="Comma 6 4 4 2" xfId="2938" xr:uid="{BB9A0361-3C2D-4582-8A75-9341AA495E6C}"/>
    <cellStyle name="Comma 6 4 5" xfId="2049" xr:uid="{0943E5D3-998C-490A-AB19-F579082BBE66}"/>
    <cellStyle name="Comma 6 4 6" xfId="1858" xr:uid="{82730086-4FC2-4C85-9259-C0FD00A19774}"/>
    <cellStyle name="Comma 6 5" xfId="953" xr:uid="{3D63EC9F-D4E4-42F4-80A3-8D74790EBF9F}"/>
    <cellStyle name="Comma 6 5 2" xfId="2551" xr:uid="{775B5269-4927-4B8D-BDC8-6865FABC7134}"/>
    <cellStyle name="Comma 6 6" xfId="1143" xr:uid="{63E98724-4536-47E5-863D-E33EFED49897}"/>
    <cellStyle name="Comma 6 6 2" xfId="2741" xr:uid="{C1593A28-57B7-435E-A8F9-F1278039DA0D}"/>
    <cellStyle name="Comma 6 7" xfId="1334" xr:uid="{D389C93C-85D4-483B-BFEC-9CB205D86A64}"/>
    <cellStyle name="Comma 6 7 2" xfId="2931" xr:uid="{D59223C4-DFBA-41FC-A91F-6BCFC16EA7AC}"/>
    <cellStyle name="Comma 6 8" xfId="1713" xr:uid="{63199C3A-108E-43C4-BF7D-FA4084C719D7}"/>
    <cellStyle name="Comma 6 8 2" xfId="2992" xr:uid="{4988EAEB-0A9E-46E8-9FD2-E2FDADA22BA4}"/>
    <cellStyle name="Comma 6 9" xfId="2042" xr:uid="{3498F145-2049-40D2-A25E-9108DDE78C16}"/>
    <cellStyle name="Comma 7" xfId="187" xr:uid="{32D1ABBE-63B0-4D48-996B-A42E3AEE0F81}"/>
    <cellStyle name="Comma 7 2" xfId="188" xr:uid="{F04EB9F9-34B7-429A-B103-E833422FCE8C}"/>
    <cellStyle name="Comma 7 2 2" xfId="189" xr:uid="{A2C064C8-A483-40C6-8F64-F68BE2364BED}"/>
    <cellStyle name="Comma 7 2 2 2" xfId="190" xr:uid="{4C781190-2940-49B3-9EE2-CA6A2C8AA2F6}"/>
    <cellStyle name="Comma 7 2 2 2 2" xfId="964" xr:uid="{3429B179-36F7-43A2-82F7-0F729DC2C7CA}"/>
    <cellStyle name="Comma 7 2 2 2 2 2" xfId="2562" xr:uid="{21208CD8-3C88-41E5-90F3-4A850206A255}"/>
    <cellStyle name="Comma 7 2 2 2 3" xfId="1154" xr:uid="{FE47D237-6011-4743-973D-0D7DE7020DE6}"/>
    <cellStyle name="Comma 7 2 2 2 3 2" xfId="2752" xr:uid="{52E3FA1F-2015-491F-B162-4743042569F1}"/>
    <cellStyle name="Comma 7 2 2 2 4" xfId="1345" xr:uid="{6E875C63-47C1-4001-AB0A-0B5275CAD7C5}"/>
    <cellStyle name="Comma 7 2 2 2 4 2" xfId="2942" xr:uid="{21DDC72A-6973-468D-8EFB-9066E6532374}"/>
    <cellStyle name="Comma 7 2 2 2 5" xfId="2053" xr:uid="{28C70EFE-C37D-4327-BEC5-843912B9160A}"/>
    <cellStyle name="Comma 7 2 2 2 6" xfId="1862" xr:uid="{4FFA59B4-BAD0-472B-AD23-2CCE346CCDC8}"/>
    <cellStyle name="Comma 7 2 2 3" xfId="963" xr:uid="{8AB39205-EE72-4207-99B3-C8619077E785}"/>
    <cellStyle name="Comma 7 2 2 3 2" xfId="2561" xr:uid="{94F63FFC-A297-40BB-B517-C1D906413FBB}"/>
    <cellStyle name="Comma 7 2 2 4" xfId="1153" xr:uid="{36A99E81-8E6C-4BAB-ACC8-29CDDB3BC15E}"/>
    <cellStyle name="Comma 7 2 2 4 2" xfId="2751" xr:uid="{E1844FEF-383A-4569-A93D-27C119A3F6A3}"/>
    <cellStyle name="Comma 7 2 2 5" xfId="1344" xr:uid="{D35C7D67-CEEB-4B10-9BAD-2F350A8EBDDA}"/>
    <cellStyle name="Comma 7 2 2 5 2" xfId="2941" xr:uid="{5897EF0A-E1F3-4990-8FAC-CB6B999F6940}"/>
    <cellStyle name="Comma 7 2 2 6" xfId="2052" xr:uid="{52B7FF8B-C4C3-4E3A-8C65-FA623F1D2E92}"/>
    <cellStyle name="Comma 7 2 2 7" xfId="1861" xr:uid="{B30E22EC-FF83-4A0A-B549-130826EBEB64}"/>
    <cellStyle name="Comma 7 2 3" xfId="191" xr:uid="{3C10AF16-7784-4BA0-AA20-98E336779A64}"/>
    <cellStyle name="Comma 7 2 3 2" xfId="965" xr:uid="{14BF8D38-BE8F-4914-808B-40FE203477A3}"/>
    <cellStyle name="Comma 7 2 3 2 2" xfId="2563" xr:uid="{85D0EC5D-EDDD-4F8E-89D6-709D76245C93}"/>
    <cellStyle name="Comma 7 2 3 3" xfId="1155" xr:uid="{4077172E-9CC4-4562-902E-AA5DEB032445}"/>
    <cellStyle name="Comma 7 2 3 3 2" xfId="2753" xr:uid="{3CAA16E7-A35B-4257-91ED-4C989CFCECA0}"/>
    <cellStyle name="Comma 7 2 3 4" xfId="1346" xr:uid="{4C7B3DC4-F1C2-430C-BAA3-F20B2D2DEE41}"/>
    <cellStyle name="Comma 7 2 3 4 2" xfId="2943" xr:uid="{691DB4A1-CE1C-4D38-9FF4-024EE91CF349}"/>
    <cellStyle name="Comma 7 2 3 5" xfId="2054" xr:uid="{5FF053F4-A59B-4F85-8D78-E36AC96F7802}"/>
    <cellStyle name="Comma 7 2 3 6" xfId="1863" xr:uid="{B52C0221-D01A-40A4-8253-A4BF97B64EBC}"/>
    <cellStyle name="Comma 7 2 4" xfId="962" xr:uid="{693E3774-0FBB-4002-BB19-6D520862516C}"/>
    <cellStyle name="Comma 7 2 4 2" xfId="2560" xr:uid="{0750B271-3FBA-4F51-8E76-C37EED1DBB4E}"/>
    <cellStyle name="Comma 7 2 5" xfId="1152" xr:uid="{930F10CF-F5FC-4A22-82F1-C2B1A827F67D}"/>
    <cellStyle name="Comma 7 2 5 2" xfId="2750" xr:uid="{410C4971-4502-4758-9BF6-6BB0052263E5}"/>
    <cellStyle name="Comma 7 2 6" xfId="1343" xr:uid="{05E76032-A124-47B8-9AB9-6E618C26682D}"/>
    <cellStyle name="Comma 7 2 6 2" xfId="2940" xr:uid="{806690A1-7BFF-40E3-9EF1-040A83B93107}"/>
    <cellStyle name="Comma 7 2 7" xfId="2051" xr:uid="{0B7E2ABB-E3CC-4193-8337-B05D223F36AA}"/>
    <cellStyle name="Comma 7 2 8" xfId="1860" xr:uid="{67DE829F-AACD-4E82-BD6C-1C905180E7E1}"/>
    <cellStyle name="Comma 7 3" xfId="192" xr:uid="{0A14C910-9452-4D0D-A978-4E9CA5951E6D}"/>
    <cellStyle name="Comma 7 3 2" xfId="193" xr:uid="{54B5C9BA-B690-47FF-91EE-EC84291DCEA4}"/>
    <cellStyle name="Comma 7 3 2 2" xfId="967" xr:uid="{9494DAA1-E2E5-4BD2-B5B5-301E2FA03984}"/>
    <cellStyle name="Comma 7 3 2 2 2" xfId="2565" xr:uid="{3CE6F12D-41DB-4D20-88F0-0D31C958E7D8}"/>
    <cellStyle name="Comma 7 3 2 3" xfId="1157" xr:uid="{11FA4518-EF45-44CD-A173-16E741C9446A}"/>
    <cellStyle name="Comma 7 3 2 3 2" xfId="2755" xr:uid="{44370FBC-AAD3-446B-B914-C277A68A7353}"/>
    <cellStyle name="Comma 7 3 2 4" xfId="1348" xr:uid="{B5480490-A40D-41FB-A124-3F1D5417BD5C}"/>
    <cellStyle name="Comma 7 3 2 4 2" xfId="2945" xr:uid="{7F6D0B30-AFCE-4F99-892F-4E887F028B15}"/>
    <cellStyle name="Comma 7 3 2 5" xfId="2056" xr:uid="{0AEFCBA1-88C9-4893-9055-66729354E731}"/>
    <cellStyle name="Comma 7 3 2 6" xfId="1865" xr:uid="{B12F9CE0-FEA2-452D-9E41-69CA969E765A}"/>
    <cellStyle name="Comma 7 3 3" xfId="966" xr:uid="{46C2851E-9C06-4180-8697-0A31A9F8AC58}"/>
    <cellStyle name="Comma 7 3 3 2" xfId="2564" xr:uid="{E483264E-6731-40F2-8C0A-E84BC959E863}"/>
    <cellStyle name="Comma 7 3 4" xfId="1156" xr:uid="{E41A9FCF-D5EC-4C55-805D-947005A9E3DA}"/>
    <cellStyle name="Comma 7 3 4 2" xfId="2754" xr:uid="{AF188C29-F8EA-488C-B848-9CECFB0A2EEB}"/>
    <cellStyle name="Comma 7 3 5" xfId="1347" xr:uid="{63215A53-80B0-4D11-A49E-96B569A5EA18}"/>
    <cellStyle name="Comma 7 3 5 2" xfId="2944" xr:uid="{DE48D61A-C24A-44F1-9F00-69341DF595F0}"/>
    <cellStyle name="Comma 7 3 6" xfId="2055" xr:uid="{5F68BCE2-CCDD-4101-8943-EC2A77CECFFE}"/>
    <cellStyle name="Comma 7 3 7" xfId="1864" xr:uid="{6E204BE4-8C72-4BDC-B434-7FE0E20BBBFC}"/>
    <cellStyle name="Comma 7 4" xfId="194" xr:uid="{419065A1-7A1B-43FD-80C3-E25CCEB76930}"/>
    <cellStyle name="Comma 7 4 2" xfId="968" xr:uid="{2D480EE9-21A0-4635-AF99-6EA5811ADAEA}"/>
    <cellStyle name="Comma 7 4 2 2" xfId="2566" xr:uid="{78D384DD-82B5-4938-A686-F7CDB12478CA}"/>
    <cellStyle name="Comma 7 4 3" xfId="1158" xr:uid="{7A19839A-6591-4A13-8334-18679781274B}"/>
    <cellStyle name="Comma 7 4 3 2" xfId="2756" xr:uid="{30CAFBC0-9AA1-4DA6-8FCD-F5E7747BB950}"/>
    <cellStyle name="Comma 7 4 4" xfId="1349" xr:uid="{8C587330-C222-4744-92F6-42774DE23FC4}"/>
    <cellStyle name="Comma 7 4 4 2" xfId="2946" xr:uid="{F666E8FA-436A-4F0B-BA98-07E6704B1634}"/>
    <cellStyle name="Comma 7 4 5" xfId="2057" xr:uid="{86EC4B2F-7313-4A58-B8F7-F6251ED280D9}"/>
    <cellStyle name="Comma 7 4 6" xfId="1866" xr:uid="{5BEC7CF3-0E34-4025-A41B-2EBE0A1FE2BA}"/>
    <cellStyle name="Comma 7 5" xfId="961" xr:uid="{62E8BD7F-0CB4-4396-9AAF-6D8D8ECF05E6}"/>
    <cellStyle name="Comma 7 5 2" xfId="2559" xr:uid="{32DFCE60-AE6B-4D4A-9DA6-7719B1505A94}"/>
    <cellStyle name="Comma 7 6" xfId="1151" xr:uid="{C0C41CE3-8BBF-418D-AEE4-50C710C5B489}"/>
    <cellStyle name="Comma 7 6 2" xfId="2749" xr:uid="{02897618-9544-47DC-B15B-20C547E8578F}"/>
    <cellStyle name="Comma 7 7" xfId="1342" xr:uid="{E63F200A-400A-40FD-8B13-0955F290D769}"/>
    <cellStyle name="Comma 7 7 2" xfId="2939" xr:uid="{358DD068-DCE1-4B47-B94B-4AA6E8141212}"/>
    <cellStyle name="Comma 7 8" xfId="2050" xr:uid="{1BECA40C-DC68-4892-88A7-2FAAD9F14E6C}"/>
    <cellStyle name="Comma 7 9" xfId="1859" xr:uid="{6BF41D80-9980-42A8-8DC8-0FC74408C73A}"/>
    <cellStyle name="Comma 8" xfId="195" xr:uid="{73102B46-373C-4D4F-BA08-E445839EC0ED}"/>
    <cellStyle name="Comma 8 2" xfId="196" xr:uid="{C4D75365-0FFE-43BA-83D2-926F0AB34C74}"/>
    <cellStyle name="Comma 8 2 2" xfId="197" xr:uid="{7A154C5D-3669-49EA-A491-E899154F417C}"/>
    <cellStyle name="Comma 8 2 2 2" xfId="198" xr:uid="{E3CD4A6A-0368-456C-A714-E4FEFB77C8C6}"/>
    <cellStyle name="Comma 8 2 2 2 2" xfId="972" xr:uid="{4BA98EBE-F48B-4DB0-8ABE-7B592E6D402B}"/>
    <cellStyle name="Comma 8 2 2 2 2 2" xfId="2570" xr:uid="{BE48E188-F801-4685-8050-DA681B767353}"/>
    <cellStyle name="Comma 8 2 2 2 3" xfId="1162" xr:uid="{D4735B74-39A8-4617-B92E-316ECFF6F512}"/>
    <cellStyle name="Comma 8 2 2 2 3 2" xfId="2760" xr:uid="{FEDA5C00-A4D0-4E87-8031-72DBBBF68CE8}"/>
    <cellStyle name="Comma 8 2 2 2 4" xfId="1353" xr:uid="{7C2D1901-7D3E-4BE9-9F5C-7625F2FED7AB}"/>
    <cellStyle name="Comma 8 2 2 2 4 2" xfId="2950" xr:uid="{F9DFA197-787B-44BE-9826-FAA9C631B726}"/>
    <cellStyle name="Comma 8 2 2 2 5" xfId="2061" xr:uid="{A6B4B2D7-654A-42BC-98B2-7347318806CD}"/>
    <cellStyle name="Comma 8 2 2 2 6" xfId="1870" xr:uid="{6DA24818-BFA6-4AF5-BB53-8C82C20565C9}"/>
    <cellStyle name="Comma 8 2 2 3" xfId="971" xr:uid="{2B321C42-09B2-4F0A-9386-5C2D0C501D88}"/>
    <cellStyle name="Comma 8 2 2 3 2" xfId="2569" xr:uid="{7FBC6BEF-324F-48A8-B5C2-4B4EACF4DA4F}"/>
    <cellStyle name="Comma 8 2 2 4" xfId="1161" xr:uid="{336319DF-8777-46E8-AA98-30E04B813217}"/>
    <cellStyle name="Comma 8 2 2 4 2" xfId="2759" xr:uid="{E47EF2E1-1B93-425B-8439-D3A9E033FF3A}"/>
    <cellStyle name="Comma 8 2 2 5" xfId="1352" xr:uid="{89073961-C303-4F0E-AABE-54AC6259E97F}"/>
    <cellStyle name="Comma 8 2 2 5 2" xfId="2949" xr:uid="{EA4AF812-2F7F-47CC-BC18-C4E295D2D3D8}"/>
    <cellStyle name="Comma 8 2 2 6" xfId="2060" xr:uid="{0F7B73EA-09E3-458D-A291-E3F564E9DBE2}"/>
    <cellStyle name="Comma 8 2 2 7" xfId="1869" xr:uid="{56B2DA10-56E3-4F3A-BA9E-2A791CBAC8EF}"/>
    <cellStyle name="Comma 8 2 3" xfId="199" xr:uid="{B9CCAC51-300F-4E2C-B2C1-D97AFEC54F75}"/>
    <cellStyle name="Comma 8 2 3 2" xfId="973" xr:uid="{7C12FEFA-2BE0-49C3-9412-C991F598554D}"/>
    <cellStyle name="Comma 8 2 3 2 2" xfId="2571" xr:uid="{3F8673EE-167D-4CE4-911F-7981904D5A4A}"/>
    <cellStyle name="Comma 8 2 3 3" xfId="1163" xr:uid="{A7D25FD9-B81E-49DA-9AF7-D6F8A926F390}"/>
    <cellStyle name="Comma 8 2 3 3 2" xfId="2761" xr:uid="{73637486-89D6-4703-9F4F-4C01AA4F82DD}"/>
    <cellStyle name="Comma 8 2 3 4" xfId="1354" xr:uid="{394DBEB8-CA93-4828-BC29-15D3194D7A1F}"/>
    <cellStyle name="Comma 8 2 3 4 2" xfId="2951" xr:uid="{E72FB704-3C6F-4E55-8EE8-56D0494E895C}"/>
    <cellStyle name="Comma 8 2 3 5" xfId="2062" xr:uid="{0F8E8A27-19EF-49CD-A584-1A1AB459F2AE}"/>
    <cellStyle name="Comma 8 2 3 6" xfId="1871" xr:uid="{3116F935-9B1D-4520-80B9-10A423CE623F}"/>
    <cellStyle name="Comma 8 2 4" xfId="970" xr:uid="{1DA30864-B23E-4503-90B3-38E620605FF8}"/>
    <cellStyle name="Comma 8 2 4 2" xfId="2568" xr:uid="{5590C0D4-9F9C-43BF-8287-EE7815B72F4C}"/>
    <cellStyle name="Comma 8 2 5" xfId="1160" xr:uid="{48C92EE0-333B-48B0-A210-9A4122D86025}"/>
    <cellStyle name="Comma 8 2 5 2" xfId="2758" xr:uid="{B4E66346-EE6B-4507-B442-87DA0EFCB5EB}"/>
    <cellStyle name="Comma 8 2 6" xfId="1351" xr:uid="{5E0BA904-00EA-4389-8525-0CAE03A71EAE}"/>
    <cellStyle name="Comma 8 2 6 2" xfId="2948" xr:uid="{BEF520DB-0C89-458F-B165-5AD141331F0B}"/>
    <cellStyle name="Comma 8 2 7" xfId="2059" xr:uid="{7D550387-4E09-4C91-B7AB-3EC32843A3D0}"/>
    <cellStyle name="Comma 8 2 8" xfId="1868" xr:uid="{9739FF94-3A11-4457-91F4-81CC89D0F795}"/>
    <cellStyle name="Comma 8 3" xfId="200" xr:uid="{5C10C7C5-13B1-42DF-9980-2248BFA597F1}"/>
    <cellStyle name="Comma 8 3 2" xfId="201" xr:uid="{73C7E496-3772-4058-A415-DE3ED8876B95}"/>
    <cellStyle name="Comma 8 3 2 2" xfId="975" xr:uid="{4087CC3C-A434-4B84-8BA9-A9AC50D7B137}"/>
    <cellStyle name="Comma 8 3 2 2 2" xfId="2573" xr:uid="{731618C3-910D-47F7-9346-65A4AF073911}"/>
    <cellStyle name="Comma 8 3 2 3" xfId="1165" xr:uid="{E7BE9FD5-B0A9-41E1-A039-F1DE05DDDDD9}"/>
    <cellStyle name="Comma 8 3 2 3 2" xfId="2763" xr:uid="{1E331AD3-F6BE-448E-99E4-CC8849811197}"/>
    <cellStyle name="Comma 8 3 2 4" xfId="1356" xr:uid="{C3E2C966-E992-4B39-80F9-DDF0F795C40F}"/>
    <cellStyle name="Comma 8 3 2 4 2" xfId="2953" xr:uid="{B9E4134F-1A5E-4843-B7F3-586A86EDC465}"/>
    <cellStyle name="Comma 8 3 2 5" xfId="2064" xr:uid="{373A2046-49F0-4916-9480-89B0CF57E045}"/>
    <cellStyle name="Comma 8 3 2 6" xfId="1873" xr:uid="{503CD600-3DA6-4B5C-8862-F8ACB3E0631D}"/>
    <cellStyle name="Comma 8 3 3" xfId="974" xr:uid="{576A471B-1589-4427-9057-710D8903B752}"/>
    <cellStyle name="Comma 8 3 3 2" xfId="2572" xr:uid="{0961EC2F-8F47-47C3-B92E-3B4670CD18F2}"/>
    <cellStyle name="Comma 8 3 4" xfId="1164" xr:uid="{6A51EE73-F792-4C82-8010-B7716C158DC1}"/>
    <cellStyle name="Comma 8 3 4 2" xfId="2762" xr:uid="{74171EDC-F153-40AF-A7E0-1F228F305FD7}"/>
    <cellStyle name="Comma 8 3 5" xfId="1355" xr:uid="{E50EB9E9-8BB8-40B4-9958-7D64BB1E3F6D}"/>
    <cellStyle name="Comma 8 3 5 2" xfId="2952" xr:uid="{1BAEDB9B-83BD-4666-86E8-7041637E2AF8}"/>
    <cellStyle name="Comma 8 3 6" xfId="2063" xr:uid="{632346F4-A2C3-4DC4-B592-A95141219DCD}"/>
    <cellStyle name="Comma 8 3 7" xfId="1872" xr:uid="{7BD71385-5DC3-4BA7-80F8-FB1AA1EF077E}"/>
    <cellStyle name="Comma 8 4" xfId="202" xr:uid="{04474B84-9D58-4D31-864C-EEBC1EAF0710}"/>
    <cellStyle name="Comma 8 4 2" xfId="976" xr:uid="{6C20EC0A-E6EE-4B38-9C7A-B9883A4795A7}"/>
    <cellStyle name="Comma 8 4 2 2" xfId="2574" xr:uid="{4FBCB849-76C1-444C-BE87-1B7248C6DBB1}"/>
    <cellStyle name="Comma 8 4 3" xfId="1166" xr:uid="{26D4283E-AFF8-4980-AF61-3FDE36C71C23}"/>
    <cellStyle name="Comma 8 4 3 2" xfId="2764" xr:uid="{5FED1F8B-2F16-4B67-9FDD-2EC1080E8B65}"/>
    <cellStyle name="Comma 8 4 4" xfId="1357" xr:uid="{00523EF1-BE5A-4319-AE43-B8B15402C135}"/>
    <cellStyle name="Comma 8 4 4 2" xfId="2954" xr:uid="{7ABB5738-E36A-4D10-89E9-F595D24EAC05}"/>
    <cellStyle name="Comma 8 4 5" xfId="2065" xr:uid="{FD2197A3-0F82-4B59-AD65-B5AE43A9BEF3}"/>
    <cellStyle name="Comma 8 4 6" xfId="1874" xr:uid="{3731DC40-1BB0-40C9-A486-6E1DE3EFBE7E}"/>
    <cellStyle name="Comma 8 5" xfId="969" xr:uid="{28702AB1-B4B3-404D-AAC6-DDC896BAEF1B}"/>
    <cellStyle name="Comma 8 5 2" xfId="2567" xr:uid="{1CAD4312-FB63-482E-B8B0-7004CA97E459}"/>
    <cellStyle name="Comma 8 6" xfId="1159" xr:uid="{4E753518-B7A4-4F46-BE84-38061D864E07}"/>
    <cellStyle name="Comma 8 6 2" xfId="2757" xr:uid="{AA21E310-84FA-418A-B2BA-20D59B0EE0E3}"/>
    <cellStyle name="Comma 8 7" xfId="1350" xr:uid="{B2278DF4-56AA-48E9-BBEC-DADBA148DFDE}"/>
    <cellStyle name="Comma 8 7 2" xfId="2947" xr:uid="{3206D636-1FCD-4960-B385-DA5B9701A2CB}"/>
    <cellStyle name="Comma 8 8" xfId="2058" xr:uid="{233C91CD-B2F3-4C25-B5F3-416843153981}"/>
    <cellStyle name="Comma 8 9" xfId="1867" xr:uid="{B310619E-0BD5-4FD7-AD61-4A745FFC6B4D}"/>
    <cellStyle name="Comma 9" xfId="203" xr:uid="{1403D961-C5AE-4BE9-B3EC-939108B2A1E1}"/>
    <cellStyle name="Comma 9 2" xfId="204" xr:uid="{D829E685-4DA7-483B-BC8C-302DB1C663E0}"/>
    <cellStyle name="Comma 9 2 2" xfId="205" xr:uid="{390AC332-18D5-4EEB-A55A-24F3C6E62EED}"/>
    <cellStyle name="Comma 9 2 2 2" xfId="206" xr:uid="{F2F34957-9C7E-4D1A-BF2F-1E8AD9135885}"/>
    <cellStyle name="Comma 9 2 2 2 2" xfId="980" xr:uid="{623A8444-6C75-4F3F-8638-C4436C5885A4}"/>
    <cellStyle name="Comma 9 2 2 2 2 2" xfId="2578" xr:uid="{5E9146F8-F868-4805-824D-46762BD709A1}"/>
    <cellStyle name="Comma 9 2 2 2 3" xfId="1170" xr:uid="{763CB064-5C62-4089-8377-501E0CD73900}"/>
    <cellStyle name="Comma 9 2 2 2 3 2" xfId="2768" xr:uid="{2F7B0E64-266A-4B36-87B5-A1BE8BF31AB8}"/>
    <cellStyle name="Comma 9 2 2 2 4" xfId="1361" xr:uid="{9C2D2BA8-AD16-4DB9-9A6B-8A7C962865C6}"/>
    <cellStyle name="Comma 9 2 2 2 4 2" xfId="2958" xr:uid="{F4632661-513B-4C97-8432-6B67AC6B0909}"/>
    <cellStyle name="Comma 9 2 2 2 5" xfId="2069" xr:uid="{D8FA1928-E3A4-4B8D-BA30-111443BF76A6}"/>
    <cellStyle name="Comma 9 2 2 2 6" xfId="1878" xr:uid="{D3156E1F-5983-4064-9E35-7D029CDB0AAA}"/>
    <cellStyle name="Comma 9 2 2 3" xfId="979" xr:uid="{57A79F29-1D30-4C1E-B0A6-5A6A3325B161}"/>
    <cellStyle name="Comma 9 2 2 3 2" xfId="2577" xr:uid="{83846732-3BA6-43B3-9188-95111C01D874}"/>
    <cellStyle name="Comma 9 2 2 4" xfId="1169" xr:uid="{E7D04D2F-372E-43C5-8343-0A7E9163CC9D}"/>
    <cellStyle name="Comma 9 2 2 4 2" xfId="2767" xr:uid="{E1E4B8E6-9CF7-4454-BD73-85959C3C3CCF}"/>
    <cellStyle name="Comma 9 2 2 5" xfId="1360" xr:uid="{67F941A1-ADB5-4E26-A86C-141083445EA3}"/>
    <cellStyle name="Comma 9 2 2 5 2" xfId="2957" xr:uid="{44440A3F-475D-4759-AC68-EFB9092E322C}"/>
    <cellStyle name="Comma 9 2 2 6" xfId="2068" xr:uid="{FC76F56D-630F-444B-93DA-1E2A2CA15F92}"/>
    <cellStyle name="Comma 9 2 2 7" xfId="1877" xr:uid="{47D6263B-D57A-4DFF-9312-67637BC95929}"/>
    <cellStyle name="Comma 9 2 3" xfId="207" xr:uid="{DAA6780E-13E4-4867-83C3-B41AB1E363FD}"/>
    <cellStyle name="Comma 9 2 3 2" xfId="981" xr:uid="{0842CE8B-4502-4FCE-9090-BA30D9882DAC}"/>
    <cellStyle name="Comma 9 2 3 2 2" xfId="2579" xr:uid="{EBEEA009-6532-4CB3-84D6-90AF98FBD7A5}"/>
    <cellStyle name="Comma 9 2 3 3" xfId="1171" xr:uid="{F7C4B188-45A7-49C0-B655-CF85F7CA31B5}"/>
    <cellStyle name="Comma 9 2 3 3 2" xfId="2769" xr:uid="{04888913-9312-4CB0-8A7E-36EE48E6F603}"/>
    <cellStyle name="Comma 9 2 3 4" xfId="1362" xr:uid="{F1219134-A972-4F55-9785-07E445C381D1}"/>
    <cellStyle name="Comma 9 2 3 4 2" xfId="2959" xr:uid="{EF61994E-299C-4EE0-8009-9ACBF9EF133B}"/>
    <cellStyle name="Comma 9 2 3 5" xfId="2070" xr:uid="{9C58E2F2-BBCF-4EC3-BB8D-25DAB0061E3B}"/>
    <cellStyle name="Comma 9 2 3 6" xfId="1879" xr:uid="{62EA02C6-78DD-4435-8120-7B6EF8A2CC3B}"/>
    <cellStyle name="Comma 9 2 4" xfId="978" xr:uid="{8BB38B68-3FB4-4AC2-8C1F-B126F5D0DDD3}"/>
    <cellStyle name="Comma 9 2 4 2" xfId="2576" xr:uid="{4F89ABC4-CC21-4370-B599-B805FFEA93D9}"/>
    <cellStyle name="Comma 9 2 5" xfId="1168" xr:uid="{FEC01C26-9887-482C-84EF-98EFE8B4F3BA}"/>
    <cellStyle name="Comma 9 2 5 2" xfId="2766" xr:uid="{055149EA-C206-48A5-88D1-E6703DB11C77}"/>
    <cellStyle name="Comma 9 2 6" xfId="1359" xr:uid="{F262CBC5-83CF-4B09-B432-3707BB29BFA3}"/>
    <cellStyle name="Comma 9 2 6 2" xfId="2956" xr:uid="{0A40F4EA-703C-4043-A5DB-010E6BB673B0}"/>
    <cellStyle name="Comma 9 2 7" xfId="2067" xr:uid="{E64B0D57-B0CC-45F8-BEC3-0A3D2DF49691}"/>
    <cellStyle name="Comma 9 2 8" xfId="1876" xr:uid="{FF25BD9F-84A9-4F0C-B1B7-3C70BB18EEEC}"/>
    <cellStyle name="Comma 9 3" xfId="208" xr:uid="{1E416EF6-FE43-4838-B073-34F74EEA8889}"/>
    <cellStyle name="Comma 9 3 2" xfId="209" xr:uid="{C16E5F94-99BE-48D9-9888-E8AC5B7C6F26}"/>
    <cellStyle name="Comma 9 3 2 2" xfId="983" xr:uid="{1516FFFF-22FF-4758-8A13-C23B9CB0962A}"/>
    <cellStyle name="Comma 9 3 2 2 2" xfId="2581" xr:uid="{B35F4C1D-115F-4F2E-810A-C923E42C3F55}"/>
    <cellStyle name="Comma 9 3 2 3" xfId="1173" xr:uid="{0ECC5328-D64D-4638-86B8-0E7A80CED2AF}"/>
    <cellStyle name="Comma 9 3 2 3 2" xfId="2771" xr:uid="{B43C3991-82A1-43B7-A115-B2B67CB26D2B}"/>
    <cellStyle name="Comma 9 3 2 4" xfId="1364" xr:uid="{5FDBE953-CAC8-4F79-A54D-2D3CA167E76A}"/>
    <cellStyle name="Comma 9 3 2 4 2" xfId="2961" xr:uid="{B62CD4D1-51EC-4578-B9D9-1DFC76253ED6}"/>
    <cellStyle name="Comma 9 3 2 5" xfId="2072" xr:uid="{BB6B5617-B6D8-4781-8BB6-D115A86F39D8}"/>
    <cellStyle name="Comma 9 3 2 6" xfId="1881" xr:uid="{B067E057-B16E-45F4-8BF1-80D3EC439862}"/>
    <cellStyle name="Comma 9 3 3" xfId="982" xr:uid="{B53979ED-6836-4046-98B8-47CE54763EAD}"/>
    <cellStyle name="Comma 9 3 3 2" xfId="2580" xr:uid="{AA5593C4-DC98-4DF1-9B00-F1A36F356FD1}"/>
    <cellStyle name="Comma 9 3 4" xfId="1172" xr:uid="{7415B48A-1835-4BA3-88AC-325143F54E28}"/>
    <cellStyle name="Comma 9 3 4 2" xfId="2770" xr:uid="{8369C4A8-E6FA-4054-AAA1-A8C6609827E6}"/>
    <cellStyle name="Comma 9 3 5" xfId="1363" xr:uid="{971D3A2C-7F5B-4303-A5F9-D6FB61951235}"/>
    <cellStyle name="Comma 9 3 5 2" xfId="2960" xr:uid="{C78CC100-59E6-4630-B4E1-8D1E09DD5FC8}"/>
    <cellStyle name="Comma 9 3 6" xfId="2071" xr:uid="{472B1A39-9DBA-4E64-B325-020402F543B0}"/>
    <cellStyle name="Comma 9 3 7" xfId="1880" xr:uid="{D338D386-3C8E-409F-B776-3F7B85EA6E73}"/>
    <cellStyle name="Comma 9 4" xfId="210" xr:uid="{4FBEFC48-555E-4C9F-A29D-03CDB1F29AEF}"/>
    <cellStyle name="Comma 9 4 2" xfId="984" xr:uid="{A8F7F23E-5E0F-47E6-93E5-4F81DC9DF8A0}"/>
    <cellStyle name="Comma 9 4 2 2" xfId="2582" xr:uid="{EFA2B4C8-F982-42EF-A077-D13910DF7B9E}"/>
    <cellStyle name="Comma 9 4 3" xfId="1174" xr:uid="{1E2C61F9-723A-4418-A99B-B7569347C30B}"/>
    <cellStyle name="Comma 9 4 3 2" xfId="2772" xr:uid="{52353CD1-3297-4A5B-880D-97571EC398C7}"/>
    <cellStyle name="Comma 9 4 4" xfId="1365" xr:uid="{DBC65752-943E-4315-A7F2-3F6113A0A88D}"/>
    <cellStyle name="Comma 9 4 4 2" xfId="2962" xr:uid="{ABDB6D6B-629D-4EEC-A1C7-6D7371DDB7C8}"/>
    <cellStyle name="Comma 9 4 5" xfId="2073" xr:uid="{0189C6C2-EBCD-4361-A504-2DE402582936}"/>
    <cellStyle name="Comma 9 4 6" xfId="1882" xr:uid="{80D862F3-FBAC-4E45-A2AB-D3D1A2EEEEDD}"/>
    <cellStyle name="Comma 9 5" xfId="977" xr:uid="{F50AD757-97BA-4663-8CE1-B79F08913D06}"/>
    <cellStyle name="Comma 9 5 2" xfId="2575" xr:uid="{FD053F31-ED2D-4053-B0BA-D73EF3DC99CA}"/>
    <cellStyle name="Comma 9 6" xfId="1167" xr:uid="{930DA103-9F62-4DAB-B4CF-E3E7FE024C41}"/>
    <cellStyle name="Comma 9 6 2" xfId="2765" xr:uid="{F7E2D96F-EB3F-4A7C-85A6-40833816FA47}"/>
    <cellStyle name="Comma 9 7" xfId="1358" xr:uid="{EEDB7265-C881-48D7-9F63-F7880D97DFBA}"/>
    <cellStyle name="Comma 9 7 2" xfId="2955" xr:uid="{68E25BDB-EB28-4B86-BD01-C511BF93A5E2}"/>
    <cellStyle name="Comma 9 8" xfId="2066" xr:uid="{463B9940-1B8B-494E-A2EF-CDBF28D8A39E}"/>
    <cellStyle name="Comma 9 9" xfId="1875" xr:uid="{E3F4ED73-602C-46F4-AE8F-2FBF24F31220}"/>
    <cellStyle name="Comma_Hachav" xfId="3011" xr:uid="{795C347E-FC1E-4039-BEE1-F37B451D6A23}"/>
    <cellStyle name="Comma0" xfId="211" xr:uid="{DEE1E783-4FC2-4B1E-B679-CD3BA07CE56C}"/>
    <cellStyle name="Comma0 2" xfId="212" xr:uid="{395A8405-E0E1-4D36-AE27-EE4C409D3D5E}"/>
    <cellStyle name="Comma0 2 2" xfId="1367" xr:uid="{FD9A608F-66B3-425A-8053-D7CEC6A8A195}"/>
    <cellStyle name="Comma0 2 3" xfId="2075" xr:uid="{2F9ADCCB-A027-46CB-AF2F-D65C01B63605}"/>
    <cellStyle name="Comma0 3" xfId="1366" xr:uid="{0C48C60C-39A5-40DD-9F11-F6EA2DC800C3}"/>
    <cellStyle name="Comma0 4" xfId="2074" xr:uid="{14FAC940-6F86-46FA-A5ED-2A4328491175}"/>
    <cellStyle name="Currency [0] _%מט&quot;ח" xfId="214" xr:uid="{393CDC99-44FE-4F68-AF13-70FA2969F586}"/>
    <cellStyle name="Currency 2" xfId="215" xr:uid="{3A0C152B-A65F-477A-B1E2-A0F6E4E511B4}"/>
    <cellStyle name="Currency 2 2" xfId="216" xr:uid="{97B82FE3-AF61-4612-988E-E600FBF2CB45}"/>
    <cellStyle name="Currency 2 2 2" xfId="217" xr:uid="{987AEF68-A1EF-45C8-B03D-679977A3FD85}"/>
    <cellStyle name="Currency 2 2 2 2" xfId="988" xr:uid="{C6A01291-D871-4ECF-977F-60A8DA26836B}"/>
    <cellStyle name="Currency 2 2 2 2 2" xfId="2586" xr:uid="{3FE7A93C-316B-4511-92B1-4AD0CC7D1DE2}"/>
    <cellStyle name="Currency 2 2 2 3" xfId="1178" xr:uid="{8DE28FB7-C229-4DF1-A16A-4B19CC58532A}"/>
    <cellStyle name="Currency 2 2 2 3 2" xfId="2776" xr:uid="{C8CD4497-8B4B-4E8D-B9E4-047546CF8CE7}"/>
    <cellStyle name="Currency 2 2 2 4" xfId="1371" xr:uid="{FF2E4F4A-F23D-401D-911B-A67CE52D7D4E}"/>
    <cellStyle name="Currency 2 2 2 4 2" xfId="2966" xr:uid="{3A87B8E8-4EBD-4AE5-85FC-B003E06A87C1}"/>
    <cellStyle name="Currency 2 2 2 5" xfId="2079" xr:uid="{37063929-EA18-4C3C-8285-68A6721A74CA}"/>
    <cellStyle name="Currency 2 2 2 6" xfId="1886" xr:uid="{3EDC8EE7-C91C-4B73-A78C-CB8222589625}"/>
    <cellStyle name="Currency 2 2 3" xfId="987" xr:uid="{7E590EB1-C91B-4093-833F-4D452509FE60}"/>
    <cellStyle name="Currency 2 2 3 2" xfId="2585" xr:uid="{86D823B0-2EDA-48E4-8E47-78AAFDC222D1}"/>
    <cellStyle name="Currency 2 2 4" xfId="1177" xr:uid="{82416FEF-FDDA-4B61-BECD-E9BBE537DD11}"/>
    <cellStyle name="Currency 2 2 4 2" xfId="2775" xr:uid="{7151A519-D25F-4053-8B0E-6526FDBCD363}"/>
    <cellStyle name="Currency 2 2 5" xfId="1370" xr:uid="{E362A7A5-424A-4A33-8C53-DF16BE9E33E2}"/>
    <cellStyle name="Currency 2 2 5 2" xfId="2965" xr:uid="{851DC449-B946-411E-82A6-B040AC681ED1}"/>
    <cellStyle name="Currency 2 2 6" xfId="2078" xr:uid="{F0252C8F-D5C5-4A5F-8561-F7E187164547}"/>
    <cellStyle name="Currency 2 2 7" xfId="1885" xr:uid="{61745615-0EF2-4871-8B68-0338BACEEBCF}"/>
    <cellStyle name="Currency 2 3" xfId="218" xr:uid="{F64B4AD6-E52B-4FBF-89A0-DE0716252198}"/>
    <cellStyle name="Currency 2 3 2" xfId="989" xr:uid="{34EC5D34-8BB3-40D4-B1A0-01AD4DF7DAD7}"/>
    <cellStyle name="Currency 2 3 2 2" xfId="2587" xr:uid="{B1B4DDD9-133B-4AE0-9066-8FB27404C908}"/>
    <cellStyle name="Currency 2 3 3" xfId="1179" xr:uid="{908D634B-AD70-4A7E-B1B1-7D25745835FF}"/>
    <cellStyle name="Currency 2 3 3 2" xfId="2777" xr:uid="{B5DFA0FB-6FBF-4F43-9ED5-1287ABD2FD83}"/>
    <cellStyle name="Currency 2 3 4" xfId="1372" xr:uid="{374EC721-C5B7-46D0-B3BB-E4F63064FF7D}"/>
    <cellStyle name="Currency 2 3 4 2" xfId="2967" xr:uid="{699BDF67-B92A-43B9-944C-3AB2C4FA1146}"/>
    <cellStyle name="Currency 2 3 5" xfId="2080" xr:uid="{CF75A7B2-BEA2-4BC6-AEB3-8D42FACAF8FD}"/>
    <cellStyle name="Currency 2 3 6" xfId="1887" xr:uid="{B33A5270-4B88-420A-A3FE-BF67F4D831BB}"/>
    <cellStyle name="Currency 2 4" xfId="986" xr:uid="{8E10F39E-42EB-4FD7-9F22-3EA7C95FFAC1}"/>
    <cellStyle name="Currency 2 4 2" xfId="2584" xr:uid="{6AE98488-11CD-4112-9A16-D69EED2F99B0}"/>
    <cellStyle name="Currency 2 5" xfId="1176" xr:uid="{B7C94863-211C-48CF-BADF-74C20D097F82}"/>
    <cellStyle name="Currency 2 5 2" xfId="2774" xr:uid="{1DDC02FE-BFBD-477B-829D-471B2B65FA46}"/>
    <cellStyle name="Currency 2 6" xfId="1369" xr:uid="{C6C0B2E6-A1EA-4351-AEB6-9135AA71DD6E}"/>
    <cellStyle name="Currency 2 6 2" xfId="2964" xr:uid="{20B527F7-B7B2-423B-B6F5-6E4D2BB7A2E1}"/>
    <cellStyle name="Currency 2 7" xfId="2077" xr:uid="{CE343782-1A86-4869-BB89-C12BB8F45079}"/>
    <cellStyle name="Currency 2 8" xfId="1884" xr:uid="{3257217F-189C-4CB4-A1DB-F3D093C3FFEF}"/>
    <cellStyle name="Currency 3" xfId="219" xr:uid="{11EFFDC6-3A2F-4E75-9231-ED1AEF373759}"/>
    <cellStyle name="Currency 3 2" xfId="220" xr:uid="{CBBAF4B3-B393-427F-AB4C-7DB36F2BC472}"/>
    <cellStyle name="Currency 3 2 2" xfId="991" xr:uid="{0A01EF3F-4653-4D92-B83B-C6FC2D5084DF}"/>
    <cellStyle name="Currency 3 2 2 2" xfId="2589" xr:uid="{E73A7039-28DD-433C-9F9A-C8AB79C79178}"/>
    <cellStyle name="Currency 3 2 3" xfId="1181" xr:uid="{CC057B92-C921-4E75-AD02-2E5F6BC35A19}"/>
    <cellStyle name="Currency 3 2 3 2" xfId="2779" xr:uid="{D10D3861-5963-4D33-AD34-FB51A072B665}"/>
    <cellStyle name="Currency 3 2 4" xfId="1374" xr:uid="{EDBE8F49-5FA0-4AB6-AA78-1AD194499DC3}"/>
    <cellStyle name="Currency 3 2 4 2" xfId="2969" xr:uid="{8E66A783-FD1C-464A-A246-DB92B60FB213}"/>
    <cellStyle name="Currency 3 2 5" xfId="2082" xr:uid="{2151BB98-FB2B-4259-9F07-46921FEFA57F}"/>
    <cellStyle name="Currency 3 2 6" xfId="1889" xr:uid="{E6CC2C44-C6A7-4891-AAC4-E1F5D175A050}"/>
    <cellStyle name="Currency 3 3" xfId="990" xr:uid="{09B3D230-E7F9-49FE-B2B2-AB8C3F943A4F}"/>
    <cellStyle name="Currency 3 3 2" xfId="2588" xr:uid="{ED99E8C1-6464-4E34-9A98-31B3C740A61A}"/>
    <cellStyle name="Currency 3 4" xfId="1180" xr:uid="{179F6606-B111-4A55-8501-7DE8B60891CD}"/>
    <cellStyle name="Currency 3 4 2" xfId="2778" xr:uid="{0998ECB6-6EDA-4A5E-9902-08861DA6FDFD}"/>
    <cellStyle name="Currency 3 5" xfId="1373" xr:uid="{AD520C5C-6E12-4D17-8056-846A188E57F9}"/>
    <cellStyle name="Currency 3 5 2" xfId="2968" xr:uid="{AC190ABA-EDC1-471C-B4AF-547F052E0D6D}"/>
    <cellStyle name="Currency 3 6" xfId="2081" xr:uid="{22EE823F-C616-4FEC-97F9-9B5ABC93188B}"/>
    <cellStyle name="Currency 3 7" xfId="1888" xr:uid="{5800A004-D93A-4810-ABCB-23E24ABBD762}"/>
    <cellStyle name="Currency 4" xfId="221" xr:uid="{C5DC6F84-56E9-4E32-B5E5-C5D431F035AB}"/>
    <cellStyle name="Currency 4 2" xfId="992" xr:uid="{E1C4CEB0-289E-4346-836A-DEAD5857E1EE}"/>
    <cellStyle name="Currency 4 2 2" xfId="2590" xr:uid="{599B3803-1544-4DA4-932A-65D1CE1525C6}"/>
    <cellStyle name="Currency 4 3" xfId="1182" xr:uid="{F24DD307-8DFE-4996-8801-1567C14B156E}"/>
    <cellStyle name="Currency 4 3 2" xfId="2780" xr:uid="{85F64AD6-28B1-4CD5-B14F-79522F8BC17C}"/>
    <cellStyle name="Currency 4 4" xfId="1375" xr:uid="{E13B57D5-438B-467E-9024-99DCFA62DCB9}"/>
    <cellStyle name="Currency 4 4 2" xfId="2970" xr:uid="{94C66C12-8542-46DB-BAC6-85A43F2C1997}"/>
    <cellStyle name="Currency 4 5" xfId="2083" xr:uid="{36E3F827-1B69-4444-88A0-753771C4D0B1}"/>
    <cellStyle name="Currency 4 6" xfId="1890" xr:uid="{EA83C686-0E52-4466-A900-85686B3CB160}"/>
    <cellStyle name="Currency 5" xfId="213" xr:uid="{51CE156A-FB24-4411-9953-4815195A2C29}"/>
    <cellStyle name="Currency 5 2" xfId="985" xr:uid="{04C98A56-0B21-420B-B25B-9AD1605CE5D6}"/>
    <cellStyle name="Currency 5 2 2" xfId="2583" xr:uid="{B0828C17-4DB2-4DF1-AB7F-C46A4CB0D171}"/>
    <cellStyle name="Currency 5 3" xfId="1175" xr:uid="{2F7A9727-9CE1-4B3C-A283-9A62FBF3E64A}"/>
    <cellStyle name="Currency 5 3 2" xfId="2773" xr:uid="{587FCE72-9BA9-4A32-B894-27787655AEA9}"/>
    <cellStyle name="Currency 5 4" xfId="1368" xr:uid="{5610F1C3-FE10-4448-AEB9-BDEB2EEF361B}"/>
    <cellStyle name="Currency 5 4 2" xfId="2963" xr:uid="{4BFC560B-72EE-4E0D-9268-0DAEA09431D1}"/>
    <cellStyle name="Currency 5 5" xfId="2076" xr:uid="{2EEEAD1E-8A6A-42AE-8894-BA475265437C}"/>
    <cellStyle name="Currency 5 6" xfId="1883" xr:uid="{96F200F1-A577-4A4B-825C-3A03B3D501CC}"/>
    <cellStyle name="Currency0" xfId="222" xr:uid="{F2B87CFA-C5E1-472A-B31A-673834DFCEE0}"/>
    <cellStyle name="Currency0 2" xfId="223" xr:uid="{E2E30117-DDAD-4BFD-AC33-11A0F79DE987}"/>
    <cellStyle name="Currency0 2 2" xfId="1377" xr:uid="{A11CD8A3-D40F-4C33-9D83-9B8B353F3AC0}"/>
    <cellStyle name="Currency0 2 3" xfId="2085" xr:uid="{A6BCDC42-9230-4496-889A-D73E9FFB1625}"/>
    <cellStyle name="Currency0 3" xfId="1376" xr:uid="{E6FD25E4-FD47-4568-8C90-7D07782C4528}"/>
    <cellStyle name="Currency0 4" xfId="2084" xr:uid="{16495A57-13CE-4B47-A7EC-5A511CEA6360}"/>
    <cellStyle name="Date" xfId="224" xr:uid="{370F6537-27ED-4014-AE2F-E0CAB1AC7FD7}"/>
    <cellStyle name="DemoVersionTextStyle" xfId="225" xr:uid="{9E3385B1-B6E9-49D2-859A-9212F5591DD9}"/>
    <cellStyle name="DemoVersionTextStyle 2" xfId="631" xr:uid="{9E93AB93-BB49-43C5-AAFB-28F353CB11B0}"/>
    <cellStyle name="DemoVersionTextStyle 2 2" xfId="697" xr:uid="{D5817316-DC79-447B-96A7-AF6A8DE54E71}"/>
    <cellStyle name="DemoVersionTextStyle 3" xfId="658" xr:uid="{ED8CA32A-F616-4582-90EC-7B588CD38937}"/>
    <cellStyle name="DemoVersionTitleStyle" xfId="226" xr:uid="{A13B72B8-9DCA-4A9E-82F0-719D3B4E8DF9}"/>
    <cellStyle name="DemoVersionTitleStyle 2" xfId="632" xr:uid="{652AB6CC-7D09-4899-9631-283E75B4E077}"/>
    <cellStyle name="DemoVersionTitleStyle 2 2" xfId="698" xr:uid="{8595E4AE-4289-4DF8-AADB-154509B91158}"/>
    <cellStyle name="DemoVersionTitleStyle 3" xfId="659" xr:uid="{1A2E12CF-C5C0-4AA6-B521-0AD10F7FC0B6}"/>
    <cellStyle name="Explanatory Text" xfId="227" xr:uid="{D63E64BA-D06D-457A-82A1-E2B73369E7C8}"/>
    <cellStyle name="Explanatory Text 2" xfId="633" xr:uid="{D400AFE0-D658-4469-A846-8A0180191FAA}"/>
    <cellStyle name="Explanatory Text 2 2" xfId="699" xr:uid="{EADA476C-00EA-44BD-B309-6631262074DC}"/>
    <cellStyle name="Fixed" xfId="228" xr:uid="{4BC5D087-5F86-4A4C-8C9E-60A033FCE5D0}"/>
    <cellStyle name="Good" xfId="229" xr:uid="{4E2CE481-5098-4CBF-946C-2CFA0C1C072E}"/>
    <cellStyle name="Good 2" xfId="634" xr:uid="{DA3E4A16-319E-46A2-985E-ABD5DF9423CD}"/>
    <cellStyle name="Good 2 2" xfId="700" xr:uid="{23138D02-4566-452A-8643-26BB20A7641E}"/>
    <cellStyle name="Heading 1" xfId="230" xr:uid="{F1B3448E-9E46-48B0-92E1-502D0E8E583F}"/>
    <cellStyle name="Heading 1 2" xfId="231" xr:uid="{54F20B9D-073B-477D-9A03-2EBA62FFAB59}"/>
    <cellStyle name="Heading 1 3" xfId="635" xr:uid="{6AFCF758-7BAD-417B-866E-33EDB518E0D2}"/>
    <cellStyle name="Heading 2" xfId="232" xr:uid="{50C9606E-F555-4BBE-B96F-783843C91440}"/>
    <cellStyle name="Heading 2 2" xfId="233" xr:uid="{7CC03C95-37C3-41B0-8EDC-0A89C05399E6}"/>
    <cellStyle name="Heading 2 3" xfId="636" xr:uid="{2BD97F1A-C903-4249-927E-CB1DE77718CC}"/>
    <cellStyle name="Heading 3" xfId="234" xr:uid="{BB65AAB8-C00C-4497-BE5C-3A205FCBA48A}"/>
    <cellStyle name="Heading 3 2" xfId="637" xr:uid="{FDF48A35-703D-4065-9515-FDF308E759C0}"/>
    <cellStyle name="Heading 3 2 2" xfId="701" xr:uid="{02FA7846-7FB5-450A-92FC-4C11D63A59E0}"/>
    <cellStyle name="Heading 4" xfId="235" xr:uid="{3619D32F-660E-44A6-8ADC-7D21BDAD50EB}"/>
    <cellStyle name="Heading 4 2" xfId="638" xr:uid="{C6A48C60-480C-49AD-AEF4-4F5AEA6C658C}"/>
    <cellStyle name="Heading 4 2 2" xfId="702" xr:uid="{FE22F98E-C1E7-4363-AD45-41B4C85AEE1B}"/>
    <cellStyle name="Heading1" xfId="236" xr:uid="{E5BB52A8-B31F-4FF0-808B-1898FC107DA9}"/>
    <cellStyle name="Heading2" xfId="237" xr:uid="{2ABF420F-BF29-4C85-9B1F-25ACE9540B81}"/>
    <cellStyle name="HederStyle" xfId="3002" xr:uid="{AFA745C0-304B-4305-B0E7-018B8244B885}"/>
    <cellStyle name="HederStyleData" xfId="3004" xr:uid="{810B3FF4-C77B-43D6-9224-BC80D820A12C}"/>
    <cellStyle name="HederStyleNoWrap" xfId="3003" xr:uid="{B9EFE7A5-BFE3-4C64-8B89-485A0B6830C4}"/>
    <cellStyle name="Hyperlink 2" xfId="730" xr:uid="{F94F11B5-12FE-4232-ABA7-606C823A119C}"/>
    <cellStyle name="Hyperlink_כרטיסי אשראי" xfId="238" xr:uid="{CED3BF58-D81F-4D9C-BD9B-830F201E944D}"/>
    <cellStyle name="Input" xfId="239" xr:uid="{BBF8B7E1-4AA7-454B-9C41-58EAA766815E}"/>
    <cellStyle name="Input 2" xfId="639" xr:uid="{6C3A848A-C9A3-4EBF-AA5E-300BB02EE314}"/>
    <cellStyle name="Input 2 2" xfId="703" xr:uid="{5D05BFBC-DFF9-4586-BFE9-C5B6A1BB5E84}"/>
    <cellStyle name="Linked Cell" xfId="240" xr:uid="{2031F224-77E5-4B28-AA84-CC9429583290}"/>
    <cellStyle name="Linked Cell 2" xfId="640" xr:uid="{DA7961F2-9658-4A62-8EBA-2B18EF2389BB}"/>
    <cellStyle name="Linked Cell 2 2" xfId="704" xr:uid="{D97A9CB6-651C-4543-A157-99FEA92CA208}"/>
    <cellStyle name="Mida_e" xfId="241" xr:uid="{F7055443-6710-4081-A6F9-0B0868AEEFBB}"/>
    <cellStyle name="Neutral" xfId="242" xr:uid="{9A282A82-3228-4792-B242-B4ED99B1B802}"/>
    <cellStyle name="Neutral 2" xfId="641" xr:uid="{80DD0402-6BE6-46FA-AE50-359165EBA489}"/>
    <cellStyle name="Neutral 2 2" xfId="705" xr:uid="{018D0D98-3CEA-401B-BE43-47F9DD8BB96D}"/>
    <cellStyle name="Normal" xfId="0" builtinId="0"/>
    <cellStyle name="Normal 10" xfId="243" xr:uid="{A25A39DF-8442-43A0-BD64-6203BC951D61}"/>
    <cellStyle name="Normal 10 2" xfId="244" xr:uid="{4E5C84E6-1CF4-48C8-BAF1-33329DE3441D}"/>
    <cellStyle name="Normal 10 2 2" xfId="1379" xr:uid="{38CD942D-3EB4-4B53-928F-5F90D2B30A89}"/>
    <cellStyle name="Normal 10 2 3" xfId="2087" xr:uid="{6C764BAD-C62A-4DE2-935E-8093526ACC62}"/>
    <cellStyle name="Normal 10 3" xfId="1378" xr:uid="{40499AB8-0DD2-4F12-AE40-0790F1D942C4}"/>
    <cellStyle name="Normal 10 4" xfId="2086" xr:uid="{3DC0FF20-E918-4B9B-9587-9BCC7A619F2D}"/>
    <cellStyle name="Normal 100" xfId="245" xr:uid="{05E4E512-2AB5-4640-951D-2B34AB419F83}"/>
    <cellStyle name="Normal 100 2" xfId="246" xr:uid="{490D74F4-0D02-41ED-8C6A-38E09EC581D7}"/>
    <cellStyle name="Normal 100 2 2" xfId="1381" xr:uid="{B7982324-C5EF-48D4-AF2E-014B496EAE0A}"/>
    <cellStyle name="Normal 100 2 3" xfId="2089" xr:uid="{F367CAEA-E18E-476C-8959-B888D07FD74C}"/>
    <cellStyle name="Normal 100 3" xfId="1380" xr:uid="{33B0E2DF-4305-428D-9ACB-4F817DEC6ECB}"/>
    <cellStyle name="Normal 100 4" xfId="2088" xr:uid="{FB8232A2-7628-4161-9694-FDA163ECAE94}"/>
    <cellStyle name="Normal 101" xfId="247" xr:uid="{326F9E62-9C7F-493F-82DA-163CFED82168}"/>
    <cellStyle name="Normal 101 2" xfId="248" xr:uid="{580781D5-0ABB-4FA2-BDCC-73851996FAC0}"/>
    <cellStyle name="Normal 101 2 2" xfId="1383" xr:uid="{50039FB8-C219-48BF-B785-31498AE64F24}"/>
    <cellStyle name="Normal 101 2 3" xfId="2091" xr:uid="{C1275CD4-84DC-4EE9-A29A-40A70783B4FA}"/>
    <cellStyle name="Normal 101 3" xfId="1382" xr:uid="{3AB3B19A-9701-4FA9-8E9C-C12605EAE95D}"/>
    <cellStyle name="Normal 101 4" xfId="2090" xr:uid="{12A02C65-61CC-40D5-99D9-A5DFD6C9AEFD}"/>
    <cellStyle name="Normal 102" xfId="249" xr:uid="{000CB6C0-2C6A-4990-B71F-CCB664421148}"/>
    <cellStyle name="Normal 102 2" xfId="250" xr:uid="{B15CB9CD-B04C-4C5D-BBDB-BB7B4D9D5D51}"/>
    <cellStyle name="Normal 102 2 2" xfId="1385" xr:uid="{261D568A-F4B9-4E05-A626-37295CF138F6}"/>
    <cellStyle name="Normal 102 2 3" xfId="2093" xr:uid="{5B856055-08E3-4FE7-8668-DDCAE07AEB1C}"/>
    <cellStyle name="Normal 102 3" xfId="1384" xr:uid="{5627D047-CAC6-4E8A-87A5-9F6E4C06E218}"/>
    <cellStyle name="Normal 102 4" xfId="2092" xr:uid="{E11DC67E-5B45-4A13-B72B-6FCA1EA0B14A}"/>
    <cellStyle name="Normal 103" xfId="251" xr:uid="{F69A5486-780A-4DEC-B503-DFF73B5FCEA1}"/>
    <cellStyle name="Normal 103 2" xfId="252" xr:uid="{C9173871-8F5F-443F-BBB6-F3216C5C4E87}"/>
    <cellStyle name="Normal 103 2 2" xfId="1387" xr:uid="{A86606AC-C992-45A2-80B0-AA6C86945503}"/>
    <cellStyle name="Normal 103 2 3" xfId="2095" xr:uid="{342FBA5C-88C9-4C86-896F-61AB9F62B45C}"/>
    <cellStyle name="Normal 103 3" xfId="1386" xr:uid="{23095892-08B5-43FA-A520-1CCC335A5B03}"/>
    <cellStyle name="Normal 103 4" xfId="2094" xr:uid="{A2F0E3FE-759E-4899-B734-A0D9FBF0741E}"/>
    <cellStyle name="Normal 104" xfId="253" xr:uid="{87EB9C0F-0938-4709-BECD-8AF3898C7381}"/>
    <cellStyle name="Normal 104 2" xfId="254" xr:uid="{3F078E9D-CF7C-4ACA-80F4-40BE1B751FBB}"/>
    <cellStyle name="Normal 104 2 2" xfId="1389" xr:uid="{670D20C9-566D-4EA3-9E74-964005D2DA82}"/>
    <cellStyle name="Normal 104 2 3" xfId="2097" xr:uid="{A349BA9E-8B8F-42BD-AF6D-5780652A4995}"/>
    <cellStyle name="Normal 104 3" xfId="1388" xr:uid="{C896907B-52D8-479F-A4A3-53B899DF77D8}"/>
    <cellStyle name="Normal 104 4" xfId="2096" xr:uid="{65C1D186-7C96-4A0C-8DAA-94F771DD4F2A}"/>
    <cellStyle name="Normal 105" xfId="255" xr:uid="{8A7EB8FA-E8D9-45B0-B0AD-73F39CC9747A}"/>
    <cellStyle name="Normal 105 2" xfId="256" xr:uid="{9E6DE6DB-0684-4A30-94EE-64FE63576945}"/>
    <cellStyle name="Normal 105 2 2" xfId="1391" xr:uid="{D51DD4D2-A70A-453A-AA22-C6D7D4541249}"/>
    <cellStyle name="Normal 105 2 3" xfId="2099" xr:uid="{E5209049-AA67-4002-9F48-460DE36D6C07}"/>
    <cellStyle name="Normal 105 3" xfId="1390" xr:uid="{6CA25B6A-0D08-4360-955D-57CCD561409E}"/>
    <cellStyle name="Normal 105 4" xfId="2098" xr:uid="{D6B56041-3B00-4EF0-A051-218E3DBA42FF}"/>
    <cellStyle name="Normal 106" xfId="257" xr:uid="{D216585B-5F99-4DD2-8109-57AD05C790EB}"/>
    <cellStyle name="Normal 106 2" xfId="258" xr:uid="{F566B308-4A72-42BB-A4D2-8FC307EC12A1}"/>
    <cellStyle name="Normal 106 2 2" xfId="1393" xr:uid="{840EC407-7A11-445D-AD77-E46E5703D5CA}"/>
    <cellStyle name="Normal 106 2 3" xfId="2101" xr:uid="{A8FD2EA5-4076-46E0-A77F-717FB7D37C7D}"/>
    <cellStyle name="Normal 106 3" xfId="1392" xr:uid="{E8AF6FEC-76FD-4BB7-BADD-FFEE31F72BCA}"/>
    <cellStyle name="Normal 106 4" xfId="2100" xr:uid="{310DEC32-319A-415E-9FAB-5183E0D2B665}"/>
    <cellStyle name="Normal 107" xfId="259" xr:uid="{3A0BD72D-A6C2-44F0-8451-9A57A0381AF7}"/>
    <cellStyle name="Normal 107 2" xfId="260" xr:uid="{086A8678-8A61-4B91-AC9A-AD5DF1A4D47E}"/>
    <cellStyle name="Normal 107 2 2" xfId="1395" xr:uid="{68A6BB0C-1373-4413-B27C-0083043A00AB}"/>
    <cellStyle name="Normal 107 2 3" xfId="2103" xr:uid="{FB30B86D-7B19-42B3-BBFA-DE47FCEAB1E1}"/>
    <cellStyle name="Normal 107 3" xfId="1394" xr:uid="{76B7F41E-94CD-44E5-B73B-D0CA6067FB42}"/>
    <cellStyle name="Normal 107 4" xfId="2102" xr:uid="{3DABEF82-8B90-48AB-B65F-F2F807BF398A}"/>
    <cellStyle name="Normal 108" xfId="261" xr:uid="{75DEA089-8DEE-4831-AED1-046D4D01D4C4}"/>
    <cellStyle name="Normal 108 2" xfId="262" xr:uid="{76024798-2CF1-4F2F-9691-E6D9B10FF986}"/>
    <cellStyle name="Normal 108 2 2" xfId="1397" xr:uid="{CCC4787D-C0BD-4175-8656-91C21BB5BC36}"/>
    <cellStyle name="Normal 108 2 3" xfId="2105" xr:uid="{245CA3BB-69E4-4FD1-BE31-0BF05665A224}"/>
    <cellStyle name="Normal 108 3" xfId="1396" xr:uid="{A5391261-D3C4-477D-8AF2-B2838F726294}"/>
    <cellStyle name="Normal 108 4" xfId="2104" xr:uid="{04D6C154-D968-47F8-B38C-0AD6F652F5C0}"/>
    <cellStyle name="Normal 109" xfId="263" xr:uid="{8DAE0362-417A-42E1-BCB2-5F0D4C3B5914}"/>
    <cellStyle name="Normal 109 2" xfId="264" xr:uid="{A8936155-43B4-4A4C-B589-6F67DBE1DF44}"/>
    <cellStyle name="Normal 109 2 2" xfId="1399" xr:uid="{94C03C8E-F24D-4682-BFA6-415A71547FE9}"/>
    <cellStyle name="Normal 109 2 3" xfId="2107" xr:uid="{3C9C1A08-96B3-4AD4-9D46-A14C70F3086A}"/>
    <cellStyle name="Normal 109 3" xfId="1398" xr:uid="{8E206504-0E7D-4C94-9D90-8D1C774402E6}"/>
    <cellStyle name="Normal 109 4" xfId="2106" xr:uid="{EC1085ED-980C-4C5D-821D-7675C3231272}"/>
    <cellStyle name="Normal 11" xfId="265" xr:uid="{1D548ABB-423C-42D5-9D4F-2D62C270C6F4}"/>
    <cellStyle name="Normal 11 2" xfId="266" xr:uid="{5783E8D4-C35E-4BA1-8842-BC25B44F93E1}"/>
    <cellStyle name="Normal 11 2 2" xfId="1401" xr:uid="{29D71D1A-2BC5-4084-8400-0D08B6495EC7}"/>
    <cellStyle name="Normal 11 2 3" xfId="2109" xr:uid="{EA595D50-E925-4CB8-8704-106E6F7891F2}"/>
    <cellStyle name="Normal 11 3" xfId="1400" xr:uid="{8936B36D-3B17-4C44-B958-694454B83AB9}"/>
    <cellStyle name="Normal 11 4" xfId="2108" xr:uid="{296DFFCC-FCF3-4F6A-BD76-696F96D73FC3}"/>
    <cellStyle name="Normal 110" xfId="267" xr:uid="{79F8EDB5-A1E4-405C-8824-6173EC247F61}"/>
    <cellStyle name="Normal 110 2" xfId="268" xr:uid="{A9761AEE-3378-43E7-B2B1-FE84EF700047}"/>
    <cellStyle name="Normal 110 2 2" xfId="1403" xr:uid="{4477803E-DD90-4535-97D7-60FADC2FF8BC}"/>
    <cellStyle name="Normal 110 2 3" xfId="2111" xr:uid="{DA6255F9-0AA5-42E6-A85E-16EF6CCA38E4}"/>
    <cellStyle name="Normal 110 3" xfId="1402" xr:uid="{6C0FDB2B-7FE8-450E-91B9-B3A83AE9DBD6}"/>
    <cellStyle name="Normal 110 4" xfId="2110" xr:uid="{9D011766-9971-4986-94D8-F5D4B98B475C}"/>
    <cellStyle name="Normal 111" xfId="269" xr:uid="{0DF85FD6-6A1F-49BF-987E-558DD68A4D37}"/>
    <cellStyle name="Normal 111 2" xfId="270" xr:uid="{BE3D979D-6BB5-4C7E-9B3C-09C0DFA55BFB}"/>
    <cellStyle name="Normal 111 2 2" xfId="1405" xr:uid="{4D0C005E-3C86-43A2-8F73-26BF3C5DF65B}"/>
    <cellStyle name="Normal 111 2 3" xfId="2113" xr:uid="{9380C634-C396-4E1C-97A0-D392F1A9A435}"/>
    <cellStyle name="Normal 111 3" xfId="1404" xr:uid="{6EB7E9B2-D4D4-481F-890B-1A25B76BE1F5}"/>
    <cellStyle name="Normal 111 4" xfId="2112" xr:uid="{F5601CB7-7CBE-4EE3-B19A-16A20FE9EAD0}"/>
    <cellStyle name="Normal 112" xfId="271" xr:uid="{0563F44D-38F0-4F63-9171-0A85B45A3F34}"/>
    <cellStyle name="Normal 112 2" xfId="272" xr:uid="{0D8B1932-1937-415A-AC92-06E3BE60056D}"/>
    <cellStyle name="Normal 112 2 2" xfId="1407" xr:uid="{85671AA9-2366-40A2-B441-A4FAC750C38E}"/>
    <cellStyle name="Normal 112 2 3" xfId="2115" xr:uid="{9A65BCF4-83CC-41A1-B62D-D5FBC4DE62E8}"/>
    <cellStyle name="Normal 112 3" xfId="1406" xr:uid="{1C0EA1FA-9086-4A74-950B-333AFB9E2CE6}"/>
    <cellStyle name="Normal 112 4" xfId="2114" xr:uid="{59ECCC8C-9CB1-4DA9-BF53-AF034F7C00A9}"/>
    <cellStyle name="Normal 113" xfId="273" xr:uid="{51012A0B-22E9-4F87-A601-85EDE27E8AB4}"/>
    <cellStyle name="Normal 113 2" xfId="274" xr:uid="{875C64CF-2B88-46FB-A648-B0335D6EE229}"/>
    <cellStyle name="Normal 113 2 2" xfId="1409" xr:uid="{2912E1B2-AA20-4694-8658-F12121BA003B}"/>
    <cellStyle name="Normal 113 2 3" xfId="2117" xr:uid="{C22D4A15-0B65-404B-A169-234BFFB8B2C4}"/>
    <cellStyle name="Normal 113 3" xfId="1408" xr:uid="{B67CD0E2-AE69-4576-A6B9-FD5BE199AB48}"/>
    <cellStyle name="Normal 113 4" xfId="2116" xr:uid="{98A99015-C676-44FE-BB49-1ED22DD223D7}"/>
    <cellStyle name="Normal 114" xfId="275" xr:uid="{F2A6C0B7-9309-47AD-817B-E6AD2D70A523}"/>
    <cellStyle name="Normal 114 2" xfId="276" xr:uid="{B6E0D1CA-643B-4FE8-872A-C6A84CD1E757}"/>
    <cellStyle name="Normal 114 2 2" xfId="1411" xr:uid="{947B5391-87C1-4B68-8811-B41F0371DE95}"/>
    <cellStyle name="Normal 114 2 3" xfId="2119" xr:uid="{6AA3D5A4-9366-4A6C-ADBA-46ABDC179648}"/>
    <cellStyle name="Normal 114 3" xfId="1410" xr:uid="{F1EEAE6E-8399-4424-98CF-C13B5F82498C}"/>
    <cellStyle name="Normal 114 4" xfId="2118" xr:uid="{38623934-4B09-44A3-8627-067E9AC8FACF}"/>
    <cellStyle name="Normal 115" xfId="277" xr:uid="{7F11E28E-4401-485B-B1C9-DEE1D968E517}"/>
    <cellStyle name="Normal 115 2" xfId="278" xr:uid="{B479F8EF-66BA-4DB9-B9AF-B3112BA9C21B}"/>
    <cellStyle name="Normal 115 2 2" xfId="1413" xr:uid="{8B61D995-6C95-47E2-81A5-51AE67A7A391}"/>
    <cellStyle name="Normal 115 2 3" xfId="2121" xr:uid="{9DD1E7E9-13FD-488D-886C-5D995C3914AF}"/>
    <cellStyle name="Normal 115 3" xfId="1412" xr:uid="{296E6BA0-B9F3-4184-89B5-0ED5E3B1CC6B}"/>
    <cellStyle name="Normal 115 4" xfId="2120" xr:uid="{6B1D30EA-3581-4E35-A250-6AE21E9F8CDF}"/>
    <cellStyle name="Normal 116" xfId="279" xr:uid="{A031C1FE-2C04-4B15-9F1F-A2639768366B}"/>
    <cellStyle name="Normal 116 2" xfId="280" xr:uid="{C19897E9-812F-42F3-86C9-B3D2DF808FCC}"/>
    <cellStyle name="Normal 116 2 2" xfId="1415" xr:uid="{F46D307B-CBF4-4433-8657-C1AA6F3BE091}"/>
    <cellStyle name="Normal 116 2 3" xfId="2123" xr:uid="{79AD5B02-1CF7-4B3B-A0A1-B29717B8FF76}"/>
    <cellStyle name="Normal 116 3" xfId="1414" xr:uid="{4E01E8A0-7F4F-492F-B7E0-2ED00F82968E}"/>
    <cellStyle name="Normal 116 4" xfId="2122" xr:uid="{F9F7B963-D4B0-4737-A2DE-C84AD99F1515}"/>
    <cellStyle name="Normal 117" xfId="281" xr:uid="{5AE3EC33-1070-4B1A-A189-3AB3860A82FE}"/>
    <cellStyle name="Normal 117 2" xfId="282" xr:uid="{9DC2F132-EAEE-4DD0-93E4-2F64A8689E64}"/>
    <cellStyle name="Normal 117 2 2" xfId="1417" xr:uid="{6D538780-61A6-4295-861A-4309390954CE}"/>
    <cellStyle name="Normal 117 2 3" xfId="2125" xr:uid="{D382746E-E82F-4DC5-AB76-3C3E829D2D1A}"/>
    <cellStyle name="Normal 117 3" xfId="1416" xr:uid="{CFD8EBD0-BF80-4FA6-9BB2-0557C0EFFC48}"/>
    <cellStyle name="Normal 117 4" xfId="2124" xr:uid="{C3ED5414-3722-489C-9813-DA79E935F2D9}"/>
    <cellStyle name="Normal 118" xfId="283" xr:uid="{3814D07F-A76C-4E2C-AC39-FD095E98A9A5}"/>
    <cellStyle name="Normal 118 2" xfId="284" xr:uid="{41E7A704-9C92-4CB8-8A21-CE809AD9222F}"/>
    <cellStyle name="Normal 118 2 2" xfId="1419" xr:uid="{6B0F93DA-A0E6-4E13-8405-18CC579123B4}"/>
    <cellStyle name="Normal 118 2 3" xfId="2127" xr:uid="{946F1107-D689-438C-805C-05E22FCE082B}"/>
    <cellStyle name="Normal 118 3" xfId="1418" xr:uid="{04E7B46C-B02B-43E0-A5B1-EAF145B020D2}"/>
    <cellStyle name="Normal 118 4" xfId="2126" xr:uid="{93B278E8-230E-4F6C-AECE-E045576D569E}"/>
    <cellStyle name="Normal 119" xfId="285" xr:uid="{320CE2D5-47B8-4C03-BA4F-CAD49CB6AC61}"/>
    <cellStyle name="Normal 119 2" xfId="286" xr:uid="{CB3F52A7-0084-4264-8D1D-043F252C8303}"/>
    <cellStyle name="Normal 119 2 2" xfId="1421" xr:uid="{88BA1691-9C52-40C6-A25C-E7CBA9869ACF}"/>
    <cellStyle name="Normal 119 2 3" xfId="2129" xr:uid="{6A679E8D-BD54-4865-9AF5-227170B909DE}"/>
    <cellStyle name="Normal 119 3" xfId="1420" xr:uid="{18E44882-A111-4362-823A-274C6CD31593}"/>
    <cellStyle name="Normal 119 4" xfId="2128" xr:uid="{A0C84D72-F141-47B8-A008-1D2867AD9608}"/>
    <cellStyle name="Normal 12" xfId="287" xr:uid="{1712C757-5AB7-4E00-90B2-6D95166E8F33}"/>
    <cellStyle name="Normal 12 2" xfId="288" xr:uid="{A9C28FE8-E84E-4BC7-836B-C97306204118}"/>
    <cellStyle name="Normal 12 2 2" xfId="1423" xr:uid="{9FB979EC-6381-497B-82D9-BF1FD83992C0}"/>
    <cellStyle name="Normal 12 2 3" xfId="2131" xr:uid="{D3E653B6-1E33-42E4-B656-C6B3607095E8}"/>
    <cellStyle name="Normal 12 3" xfId="1422" xr:uid="{4BD01E67-FFF3-48AB-ACC3-C4BF58E0E8B4}"/>
    <cellStyle name="Normal 12 4" xfId="2130" xr:uid="{846E3DAE-D0FB-4493-A836-2CA201F1F709}"/>
    <cellStyle name="Normal 120" xfId="289" xr:uid="{002B538C-6F2F-47E2-B11E-E899AA40DB34}"/>
    <cellStyle name="Normal 120 2" xfId="290" xr:uid="{82CB6E39-5999-4943-ACE5-E2CDCDCFD93B}"/>
    <cellStyle name="Normal 120 2 2" xfId="1425" xr:uid="{68EA5536-A8D1-4564-8FBE-4225F3A2AFB3}"/>
    <cellStyle name="Normal 120 2 3" xfId="2133" xr:uid="{2FE01677-DB9A-4725-99A6-64D30485918E}"/>
    <cellStyle name="Normal 120 3" xfId="1424" xr:uid="{D34D124B-0C05-4A93-BA0E-5D527799C5D1}"/>
    <cellStyle name="Normal 120 4" xfId="2132" xr:uid="{A068C7D0-0619-402E-B26A-F292104F492C}"/>
    <cellStyle name="Normal 121" xfId="291" xr:uid="{8D846364-0B11-4F17-9D76-376CD05DB76B}"/>
    <cellStyle name="Normal 121 2" xfId="292" xr:uid="{C9D5BD0A-C424-4C72-90DC-1A4FCF8FE15D}"/>
    <cellStyle name="Normal 122" xfId="293" xr:uid="{DB711CE8-30FD-473F-9B99-BAF88F8EFA8C}"/>
    <cellStyle name="Normal 122 2" xfId="294" xr:uid="{677D9AFA-1333-4A1E-BF84-E30ECC26751D}"/>
    <cellStyle name="Normal 122 2 2" xfId="1427" xr:uid="{31BBF87D-BBF5-4535-A90C-B0845C793A1E}"/>
    <cellStyle name="Normal 122 2 3" xfId="2135" xr:uid="{3B6BAC59-6E09-4E13-A554-38092735293F}"/>
    <cellStyle name="Normal 122 3" xfId="1426" xr:uid="{02D67976-4287-4E0E-B2B0-46F5CDBD05CE}"/>
    <cellStyle name="Normal 122 4" xfId="2134" xr:uid="{22AA7E96-0376-4763-BBDC-D34323C7EF29}"/>
    <cellStyle name="Normal 123" xfId="295" xr:uid="{0D75E801-C889-49D5-8477-0FF8ED8271F5}"/>
    <cellStyle name="Normal 123 2" xfId="1428" xr:uid="{DACF35B6-CD26-4604-BFA2-E9A788696A8F}"/>
    <cellStyle name="Normal 123 3" xfId="2136" xr:uid="{9CDF9F19-A160-46B9-B0CB-45023C7499CC}"/>
    <cellStyle name="Normal 124" xfId="296" xr:uid="{5C4BCA9A-45B8-4EEB-A9F2-56CC76F309BA}"/>
    <cellStyle name="Normal 125" xfId="297" xr:uid="{DDDBDD94-1D9E-4D61-8C6E-A3D60025EFEA}"/>
    <cellStyle name="Normal 125 2" xfId="1429" xr:uid="{52F4F237-E973-496B-92F5-0B7143A92194}"/>
    <cellStyle name="Normal 125 3" xfId="2137" xr:uid="{90E2598D-E6ED-48C8-AE73-4D25F996F687}"/>
    <cellStyle name="Normal 126" xfId="298" xr:uid="{8A2FA0B5-F475-4F81-AA03-7A782B164FBC}"/>
    <cellStyle name="Normal 126 2" xfId="1430" xr:uid="{18400608-4160-4CC8-A54E-1250C49E050E}"/>
    <cellStyle name="Normal 126 3" xfId="2138" xr:uid="{10E5C7BB-69D5-4ABF-B9E6-DB9234F09CEE}"/>
    <cellStyle name="Normal 127" xfId="299" xr:uid="{3F8DAE35-00BA-4472-B756-B2161654EB85}"/>
    <cellStyle name="Normal 127 2" xfId="1431" xr:uid="{FA55E98C-D2B5-45D4-BB98-223853DA1562}"/>
    <cellStyle name="Normal 127 3" xfId="2139" xr:uid="{95B0795E-3C56-4731-A991-BB0368EFC8E2}"/>
    <cellStyle name="Normal 128" xfId="300" xr:uid="{2240D6C3-6B5E-4B9C-832D-124D0FB5BE6F}"/>
    <cellStyle name="Normal 128 2" xfId="1432" xr:uid="{96664D5F-3944-4AA6-B393-435DCD54ACE6}"/>
    <cellStyle name="Normal 128 3" xfId="2140" xr:uid="{989E60C3-E2B8-4F96-BA68-71ACF090E7FA}"/>
    <cellStyle name="Normal 129" xfId="301" xr:uid="{D4F1E7C2-6E7D-41C9-8817-D2F0ED96AEB0}"/>
    <cellStyle name="Normal 129 2" xfId="1433" xr:uid="{41B4B3C0-3F0A-436E-B20F-5475C743A2F0}"/>
    <cellStyle name="Normal 129 3" xfId="2141" xr:uid="{F86E1C11-933D-4ABE-990E-0E38DFB45F0D}"/>
    <cellStyle name="Normal 13" xfId="302" xr:uid="{68104D21-9A4C-43D9-8216-08BAA7475745}"/>
    <cellStyle name="Normal 130" xfId="303" xr:uid="{C8820229-B613-448B-BDEA-843F3453D9A0}"/>
    <cellStyle name="Normal 130 2" xfId="1434" xr:uid="{F4C7A5FF-F534-4215-8B2F-BB686E3E3BE2}"/>
    <cellStyle name="Normal 130 3" xfId="2142" xr:uid="{42593A64-AD81-4C6C-BB17-5A57044B4583}"/>
    <cellStyle name="Normal 131" xfId="591" xr:uid="{71DDE9C6-1EC8-45DB-8F27-690CDB4387B0}"/>
    <cellStyle name="Normal 131 2" xfId="1660" xr:uid="{927E5644-8293-42D1-A019-39F7C6B99E00}"/>
    <cellStyle name="Normal 131 3" xfId="2368" xr:uid="{B59C54C6-4A6F-48D8-AC99-37366376C952}"/>
    <cellStyle name="Normal 132" xfId="592" xr:uid="{63384B52-1661-49C3-A470-82ADFFF40D1C}"/>
    <cellStyle name="Normal 132 2" xfId="1661" xr:uid="{A45764E0-0C8D-4B4E-89CD-D54B333F2953}"/>
    <cellStyle name="Normal 132 3" xfId="2369" xr:uid="{BAA3E51D-B0A1-48C2-A08F-78722E055E45}"/>
    <cellStyle name="Normal 133" xfId="595" xr:uid="{DC81CDC4-FEEA-4D14-936A-143DA25C15B3}"/>
    <cellStyle name="Normal 133 2" xfId="1664" xr:uid="{46942BCB-A33B-45EC-A131-BF19183DB876}"/>
    <cellStyle name="Normal 133 3" xfId="2372" xr:uid="{474EFF14-E0A9-4C41-B0C2-53A4EEB4B0DD}"/>
    <cellStyle name="Normal 134" xfId="596" xr:uid="{F252F23F-341C-4A45-8384-78C711AF02BF}"/>
    <cellStyle name="Normal 134 2" xfId="1665" xr:uid="{3C9501C8-7623-4389-8155-9328D755046F}"/>
    <cellStyle name="Normal 134 3" xfId="2373" xr:uid="{81EDBC54-3159-427D-9CE6-A62600FF6D6B}"/>
    <cellStyle name="Normal 135" xfId="597" xr:uid="{F79DAF24-1EE5-4EA9-AB28-0E639E6B476A}"/>
    <cellStyle name="Normal 136" xfId="603" xr:uid="{3CE904DB-6A24-4315-81CF-C3ACC4BA966C}"/>
    <cellStyle name="Normal 136 2" xfId="1669" xr:uid="{B5EB8631-AE14-43F7-9A14-40634F971A00}"/>
    <cellStyle name="Normal 136 3" xfId="2377" xr:uid="{C512A09A-7E4E-45B7-A30A-999BF5B05706}"/>
    <cellStyle name="Normal 137" xfId="647" xr:uid="{147C536D-8E66-44B3-993A-478C9FA22294}"/>
    <cellStyle name="Normal 137 2" xfId="1671" xr:uid="{F923DEC3-5B1A-4266-85CB-1101847A196A}"/>
    <cellStyle name="Normal 137 3" xfId="2379" xr:uid="{A2E2B86C-37B6-473B-AB72-6F6F6D0959D0}"/>
    <cellStyle name="Normal 138" xfId="653" xr:uid="{48292D11-13EA-4554-B4E3-23AD598EDA4F}"/>
    <cellStyle name="Normal 138 2" xfId="1675" xr:uid="{77E2D8FB-19CE-4A86-A0E3-C23FBF59EC68}"/>
    <cellStyle name="Normal 138 3" xfId="2383" xr:uid="{271E7555-682F-409E-8AB7-60AFA1139639}"/>
    <cellStyle name="Normal 139" xfId="656" xr:uid="{7AAFC132-8D9E-469B-997B-A40CC4C76D42}"/>
    <cellStyle name="Normal 139 2" xfId="1676" xr:uid="{F064E39A-9B76-4D0F-BBE5-EF86910356F6}"/>
    <cellStyle name="Normal 139 3" xfId="2384" xr:uid="{63B8B1DA-4E08-493C-BA5F-DF5CA75B933E}"/>
    <cellStyle name="Normal 14" xfId="304" xr:uid="{CAD23C6E-B23B-4EB6-B746-66DE16F3C93A}"/>
    <cellStyle name="Normal 14 2" xfId="305" xr:uid="{630D313B-AEEB-4145-B5E7-92F70335E989}"/>
    <cellStyle name="Normal 14 2 2" xfId="1436" xr:uid="{1AEDF960-7AEB-455F-AEC8-20E941CAD509}"/>
    <cellStyle name="Normal 14 2 3" xfId="2144" xr:uid="{0F38BBC7-EFA4-44C5-AC26-20C851C172A9}"/>
    <cellStyle name="Normal 14 3" xfId="1435" xr:uid="{ABC43CA5-96AA-4DA8-B8A4-245ED4F8A586}"/>
    <cellStyle name="Normal 14 4" xfId="2143" xr:uid="{B461D11B-4673-4144-B647-0C6963621F68}"/>
    <cellStyle name="Normal 140" xfId="665" xr:uid="{5D749775-990E-4529-BBD5-801A3B68D689}"/>
    <cellStyle name="Normal 141" xfId="666" xr:uid="{540F9E8E-09DE-4EE8-90FC-D2C22012728C}"/>
    <cellStyle name="Normal 141 2" xfId="1683" xr:uid="{77EC5D1D-EDDA-4599-8832-02002C3D0D65}"/>
    <cellStyle name="Normal 141 3" xfId="2391" xr:uid="{46FE29E3-27D1-43F2-8A72-5D15FB71A7D9}"/>
    <cellStyle name="Normal 142" xfId="667" xr:uid="{59885E86-776F-433F-84F9-C8E4A1D683A9}"/>
    <cellStyle name="Normal 142 2" xfId="1684" xr:uid="{11498139-38B3-4395-8EA3-A25477AAFEBE}"/>
    <cellStyle name="Normal 142 3" xfId="2392" xr:uid="{7E6A1C33-D5D4-440A-81E5-CED9EAFC1BD5}"/>
    <cellStyle name="Normal 143" xfId="668" xr:uid="{0063A1A2-EFA5-456A-BC8B-CC26D0CFE0EA}"/>
    <cellStyle name="Normal 144" xfId="712" xr:uid="{1FAF3227-5524-45B4-AD84-69C894927F6C}"/>
    <cellStyle name="Normal 145" xfId="715" xr:uid="{E08189DB-4C66-41AF-9A02-46C63A2665A0}"/>
    <cellStyle name="Normal 145 2" xfId="1688" xr:uid="{2047BADC-B637-4218-9836-161269642A8B}"/>
    <cellStyle name="Normal 145 3" xfId="2396" xr:uid="{1F051900-ACB6-4A17-B060-B65477D0B75C}"/>
    <cellStyle name="Normal 146" xfId="716" xr:uid="{0ED42399-EA01-4DCB-AC0F-A923A2ECA46C}"/>
    <cellStyle name="Normal 146 2" xfId="1689" xr:uid="{74EC3DC8-7C76-42A8-ADF6-AABA96C69B07}"/>
    <cellStyle name="Normal 146 3" xfId="2397" xr:uid="{5561EF4F-84ED-477E-A1BB-11FD07E23043}"/>
    <cellStyle name="Normal 147" xfId="718" xr:uid="{4F26AD16-2456-426E-99B3-635DEC13F4F6}"/>
    <cellStyle name="Normal 147 2" xfId="1691" xr:uid="{22A0A7F0-C3D5-4B84-B4FF-5B6C7348B421}"/>
    <cellStyle name="Normal 147 3" xfId="2399" xr:uid="{23DD93DC-BD8A-44D9-B5DB-A68D6B2FFE2A}"/>
    <cellStyle name="Normal 148" xfId="719" xr:uid="{D458AA0B-CF5B-4612-B5A2-6ED6E21C080C}"/>
    <cellStyle name="Normal 148 2" xfId="1692" xr:uid="{92686CA0-82A1-4A26-B2CC-0A78BD44E2F0}"/>
    <cellStyle name="Normal 148 3" xfId="2400" xr:uid="{BD0AB0BC-10F6-467A-96EC-ED8F42A322FE}"/>
    <cellStyle name="Normal 149" xfId="720" xr:uid="{87F10599-CFF9-4149-94F7-1B9D81350D34}"/>
    <cellStyle name="Normal 149 2" xfId="1693" xr:uid="{33ACA9BE-0B0E-45E3-8ABD-8DAC1D77076C}"/>
    <cellStyle name="Normal 149 3" xfId="2401" xr:uid="{0E1D6C98-A504-4BFF-A2FB-82E4D5C80424}"/>
    <cellStyle name="Normal 15" xfId="306" xr:uid="{F6B2F6B5-2975-49CF-B8BC-11F1EFF72463}"/>
    <cellStyle name="Normal 15 2" xfId="307" xr:uid="{25BCF35B-3968-446D-A419-11BA85AC44AB}"/>
    <cellStyle name="Normal 15 2 2" xfId="1438" xr:uid="{D39436B1-DC58-4F12-AEE9-83856B69C22A}"/>
    <cellStyle name="Normal 15 2 3" xfId="2146" xr:uid="{8C97C86A-4B3D-4045-94BE-49CA8F6ECECF}"/>
    <cellStyle name="Normal 15 3" xfId="1437" xr:uid="{AD3619CB-5283-4614-BA27-EBEFE267A642}"/>
    <cellStyle name="Normal 15 4" xfId="2145" xr:uid="{979D6BA0-F46B-405A-A102-CD1E9E62078D}"/>
    <cellStyle name="Normal 150" xfId="722" xr:uid="{F0FB66C0-D899-4ABF-BEAC-B8EE6F738372}"/>
    <cellStyle name="Normal 150 2" xfId="1694" xr:uid="{3B06B44C-0D31-4B71-8B52-06C4BE88D768}"/>
    <cellStyle name="Normal 150 3" xfId="2402" xr:uid="{3985AB1B-F218-4219-B679-1EB3F3F139E2}"/>
    <cellStyle name="Normal 151" xfId="723" xr:uid="{C3445BCF-F42C-41B8-8180-77F1F62C0D32}"/>
    <cellStyle name="Normal 151 2" xfId="1695" xr:uid="{57BA3296-21C2-4C8A-8BF8-8FB66AE7D3D4}"/>
    <cellStyle name="Normal 151 3" xfId="2403" xr:uid="{58AE1AA1-B5FF-45A9-9927-45B893B07AB6}"/>
    <cellStyle name="Normal 152" xfId="724" xr:uid="{B353AF42-8CCC-46F5-9664-1C79A80A2A37}"/>
    <cellStyle name="Normal 152 2" xfId="1696" xr:uid="{1979FEF7-BACD-46F6-8F36-308098706E74}"/>
    <cellStyle name="Normal 152 3" xfId="2404" xr:uid="{AC7F657C-2C3A-429B-9C14-6E8A6B135D9F}"/>
    <cellStyle name="Normal 153" xfId="725" xr:uid="{A96E9A4C-9356-4ED9-8C73-318B54D58988}"/>
    <cellStyle name="Normal 153 2" xfId="1697" xr:uid="{F4A0462E-7164-4DD9-8311-3C026DA43682}"/>
    <cellStyle name="Normal 153 3" xfId="2405" xr:uid="{785A54EA-0BC5-4075-88D9-EB60ADDA2ECA}"/>
    <cellStyle name="Normal 154" xfId="726" xr:uid="{E7B35A06-6B97-41FE-94D0-09A0E02570A8}"/>
    <cellStyle name="Normal 154 2" xfId="1698" xr:uid="{D56E123C-9AA9-4D7E-859F-0F3FA2340966}"/>
    <cellStyle name="Normal 154 3" xfId="2406" xr:uid="{46255A5C-3E2F-43CE-A118-C962E4ED30A0}"/>
    <cellStyle name="Normal 155" xfId="727" xr:uid="{168C4CFD-C361-495C-8487-F2F17FA5738E}"/>
    <cellStyle name="Normal 155 2" xfId="1699" xr:uid="{42193CF2-557B-4A72-A5A4-988F1572C491}"/>
    <cellStyle name="Normal 155 3" xfId="2407" xr:uid="{822DD89B-E230-4CC2-BEE7-612E056C96D4}"/>
    <cellStyle name="Normal 156" xfId="728" xr:uid="{FEFDC47B-DDD9-4A37-80F2-F058DD91EFEB}"/>
    <cellStyle name="Normal 156 2" xfId="1700" xr:uid="{1E31F6AB-A2F5-4422-96BF-29AD1C742122}"/>
    <cellStyle name="Normal 156 3" xfId="2408" xr:uid="{4E7082F1-09E4-4E89-BB7C-7F6159D6C1CC}"/>
    <cellStyle name="Normal 157" xfId="729" xr:uid="{6233BA49-3B65-411C-8BF0-17F4A1EA0474}"/>
    <cellStyle name="Normal 157 2" xfId="1701" xr:uid="{C4F9BF5E-8899-47C8-9BD3-8ADDC11BD3B3}"/>
    <cellStyle name="Normal 157 3" xfId="2409" xr:uid="{33461C13-3DDE-4343-874D-9B6ADF8C19BC}"/>
    <cellStyle name="Normal 158" xfId="731" xr:uid="{CFA4865E-1AB5-4811-B1EA-1CD86422F628}"/>
    <cellStyle name="Normal 158 2" xfId="1702" xr:uid="{91328A4E-0DFE-4786-93F8-DAE2B70C67F7}"/>
    <cellStyle name="Normal 158 3" xfId="2410" xr:uid="{94B374B6-73D8-41A3-94A4-DE39B4F02F5D}"/>
    <cellStyle name="Normal 159" xfId="815" xr:uid="{8756FE71-10AE-42B2-A67D-B4595BA9017E}"/>
    <cellStyle name="Normal 16" xfId="308" xr:uid="{9833DDF6-C851-4F4A-8595-DD8550E004F7}"/>
    <cellStyle name="Normal 16 2" xfId="309" xr:uid="{44E57499-E19B-42A5-8CDA-6EE60C46E513}"/>
    <cellStyle name="Normal 160" xfId="816" xr:uid="{E9804B19-1491-4A58-ADF6-93BC61732609}"/>
    <cellStyle name="Normal 160 2" xfId="1706" xr:uid="{260A4462-2DF3-4A14-8828-BA494B892210}"/>
    <cellStyle name="Normal 160 3" xfId="2414" xr:uid="{4D9C36AC-0B83-4A4E-BC98-B188FED82BD6}"/>
    <cellStyle name="Normal 161" xfId="5" xr:uid="{F36305D9-EAA0-4A7D-8427-5421EBF777A9}"/>
    <cellStyle name="Normal 162" xfId="1711" xr:uid="{63B3FAA3-2CB0-4FF5-8025-AECB08B5A814}"/>
    <cellStyle name="Normal 162 2" xfId="2990" xr:uid="{DF32F9CC-F145-4C38-8B69-B4D3919C7ED3}"/>
    <cellStyle name="Normal 163" xfId="3000" xr:uid="{7D1A3F6E-266E-40DA-BFF4-FA8A663458D6}"/>
    <cellStyle name="Normal 164" xfId="3001" xr:uid="{D58C147A-0148-40F5-BCC6-DA2B62E23A71}"/>
    <cellStyle name="Normal 165" xfId="3014" xr:uid="{00C6953D-7FF5-4B09-88CD-DFE81978EE12}"/>
    <cellStyle name="Normal 17" xfId="310" xr:uid="{AFCF2BEF-C472-45E6-BC7B-291C75C5AF9E}"/>
    <cellStyle name="Normal 17 2" xfId="311" xr:uid="{D681660D-905A-4C6C-BD0F-A12B8A2F28CD}"/>
    <cellStyle name="Normal 17 2 2" xfId="1440" xr:uid="{E4034628-40E2-4FF9-8EE9-CB096DB74C9C}"/>
    <cellStyle name="Normal 17 2 3" xfId="2148" xr:uid="{8D144D41-E2EE-4019-A145-F429769F4F5B}"/>
    <cellStyle name="Normal 17 3" xfId="1439" xr:uid="{D445D105-56F9-49A2-B947-3FF5CD37330D}"/>
    <cellStyle name="Normal 17 4" xfId="2147" xr:uid="{DA0DFB4A-D99D-4072-A45F-E29206BB1E40}"/>
    <cellStyle name="Normal 18" xfId="312" xr:uid="{766E1177-AB6C-4EFC-96C5-E81823001B57}"/>
    <cellStyle name="Normal 18 2" xfId="313" xr:uid="{C109E412-981C-42D5-96A5-44077088DA3E}"/>
    <cellStyle name="Normal 19" xfId="314" xr:uid="{314DC914-801E-47BC-81A7-F61480B3BE6D}"/>
    <cellStyle name="Normal 19 2" xfId="315" xr:uid="{AE146960-369F-44B1-9AF3-40DDAE35A1C1}"/>
    <cellStyle name="Normal 19 2 2" xfId="1442" xr:uid="{0E8D722A-7783-4DF8-AC8D-9E54E6E2F7D0}"/>
    <cellStyle name="Normal 19 2 3" xfId="2150" xr:uid="{A04FC769-6BA9-4277-8EE5-F0B274FAA6DF}"/>
    <cellStyle name="Normal 19 3" xfId="1441" xr:uid="{00998370-9016-4FD0-A0D6-DB1E7139DC8D}"/>
    <cellStyle name="Normal 19 4" xfId="2149" xr:uid="{2F5DA998-0FE7-4F5F-92A0-DA907E5645C1}"/>
    <cellStyle name="Normal 2" xfId="2" xr:uid="{4BFDBA42-C826-49EC-9AEB-F7B01241C40F}"/>
    <cellStyle name="Normal 2 10" xfId="598" xr:uid="{4BD809BD-8719-4EF4-A870-E3DA6AD23E3E}"/>
    <cellStyle name="Normal 2 11" xfId="648" xr:uid="{4B88AFC0-6283-40A7-BBC8-C61CA4ADE24F}"/>
    <cellStyle name="Normal 2 12" xfId="654" xr:uid="{569FB031-04B4-4E20-AF0D-2C22A5896F5D}"/>
    <cellStyle name="Normal 2 13" xfId="710" xr:uid="{6A61354D-5045-40E3-9B7A-AF92DB137200}"/>
    <cellStyle name="Normal 2 14" xfId="316" xr:uid="{CDAA7F51-0DDA-48FE-B9FC-5FC5F62BF982}"/>
    <cellStyle name="Normal 2 14 2" xfId="1443" xr:uid="{40EE8E42-9F5A-47F3-A11F-E841FA81890E}"/>
    <cellStyle name="Normal 2 14 3" xfId="2151" xr:uid="{5691570C-6DA0-4DE8-90C9-E7FBEC4CBE82}"/>
    <cellStyle name="Normal 2 15" xfId="1203" xr:uid="{DB5333BC-AD98-45C0-8A16-4AA276423425}"/>
    <cellStyle name="Normal 2 16" xfId="1714" xr:uid="{C70F2A9E-0151-4EA6-B8ED-483B206E8F8D}"/>
    <cellStyle name="Normal 2 16 2" xfId="2993" xr:uid="{88F2F625-3411-48ED-A953-21D4BC1B037F}"/>
    <cellStyle name="Normal 2 17" xfId="2999" xr:uid="{C462F4F3-8540-4200-B1A8-C478EEB35830}"/>
    <cellStyle name="Normal 2 18" xfId="1911" xr:uid="{4BF0A46E-9D7E-4C82-9969-023EAD2F8F3A}"/>
    <cellStyle name="Normal 2 19" xfId="3013" xr:uid="{9F29D5DE-F3C0-4512-BF23-0F0CC0F20B1E}"/>
    <cellStyle name="Normal 2 2" xfId="317" xr:uid="{8345A7FD-A6F6-47F1-9531-DAB6E5946B41}"/>
    <cellStyle name="Normal 2 2 2" xfId="318" xr:uid="{FF814835-A870-454C-94AD-2424AD92BA44}"/>
    <cellStyle name="Normal 2 2 2 2" xfId="1445" xr:uid="{795748FC-11FB-4786-BB6F-58F3D14FE51E}"/>
    <cellStyle name="Normal 2 2 2 3" xfId="2153" xr:uid="{AA25EDC5-43EF-43E0-9040-1BE202B6DEAB}"/>
    <cellStyle name="Normal 2 2 3" xfId="1444" xr:uid="{9BC6D29A-C29A-4A02-9FF4-2E9B08B160DD}"/>
    <cellStyle name="Normal 2 2 4" xfId="2152" xr:uid="{268BBBCF-B455-49AC-9BB3-85AE3004572F}"/>
    <cellStyle name="Normal 2 3" xfId="319" xr:uid="{73252490-1FEA-4638-9869-9F364514C56B}"/>
    <cellStyle name="Normal 2 3 2" xfId="320" xr:uid="{08A4F4CF-5AEE-4080-99A4-059195478EBC}"/>
    <cellStyle name="Normal 2 3 2 2" xfId="1447" xr:uid="{21818FBD-2F9B-4A7B-A381-07A995D3C5F6}"/>
    <cellStyle name="Normal 2 3 2 3" xfId="2155" xr:uid="{1FE3E990-3383-454D-9B39-9BED588F9845}"/>
    <cellStyle name="Normal 2 3 3" xfId="1446" xr:uid="{14CC1136-B136-4F21-BD24-80E6769A63FC}"/>
    <cellStyle name="Normal 2 3 4" xfId="2154" xr:uid="{0AC38FAC-78D6-40E9-B51E-B29868B284D8}"/>
    <cellStyle name="Normal 2 4" xfId="321" xr:uid="{5A89E4D8-8EA7-4A16-B3BC-A73123CC16B4}"/>
    <cellStyle name="Normal 2 5" xfId="322" xr:uid="{64E92641-5147-4DF5-B818-7CC8D56C0432}"/>
    <cellStyle name="Normal 2 5 2" xfId="323" xr:uid="{FEDEEC83-BD46-45DA-99C3-1959723677AC}"/>
    <cellStyle name="Normal 2 5 2 2" xfId="1449" xr:uid="{9E28943F-08B1-4E81-BADE-F4E15C3E6259}"/>
    <cellStyle name="Normal 2 5 2 3" xfId="2157" xr:uid="{F7F782A1-2AF6-48E6-AFE7-F8B074331B9D}"/>
    <cellStyle name="Normal 2 5 3" xfId="1448" xr:uid="{69657C60-C8DF-4AF9-9C8E-0D06AEE5E9AC}"/>
    <cellStyle name="Normal 2 5 4" xfId="2156" xr:uid="{25B64ECB-A4D0-483D-9E38-D3FF131631D4}"/>
    <cellStyle name="Normal 2 6" xfId="324" xr:uid="{8C206DB7-FAFD-4E2D-8B66-11A85EF3BCAA}"/>
    <cellStyle name="Normal 2 6 2" xfId="1450" xr:uid="{649CACCB-BC7F-4852-A7CC-C6A9BA7BB19E}"/>
    <cellStyle name="Normal 2 6 3" xfId="2158" xr:uid="{8C7B26E1-AD4D-488F-BF7A-CBF472CC2185}"/>
    <cellStyle name="Normal 2 7" xfId="325" xr:uid="{7853CAEE-55F9-47FC-B9FA-7AADC0172462}"/>
    <cellStyle name="Normal 2 7 2" xfId="1451" xr:uid="{014D6127-431B-403A-A10D-552E77A8C346}"/>
    <cellStyle name="Normal 2 7 3" xfId="2159" xr:uid="{0FDDC51E-1573-42E0-A275-4A9FA9E21CBB}"/>
    <cellStyle name="Normal 2 8" xfId="326" xr:uid="{CB28B4DA-83AB-49DC-AEC2-3D8AE65C6880}"/>
    <cellStyle name="Normal 2 8 2" xfId="1452" xr:uid="{8AF84E27-A5EE-459F-A060-F51510FD8B84}"/>
    <cellStyle name="Normal 2 8 3" xfId="2160" xr:uid="{42E92F2B-8527-4B87-836D-FD8C5D86A384}"/>
    <cellStyle name="Normal 2 9" xfId="327" xr:uid="{3DCA6C63-7B47-4A60-8C7D-97783D5E1C70}"/>
    <cellStyle name="Normal 2 9 2" xfId="1453" xr:uid="{9D73F470-F104-4D8F-9C6C-DD3E273DCB00}"/>
    <cellStyle name="Normal 2 9 3" xfId="2161" xr:uid="{2A0FD18D-880D-4E2D-83D9-9DF9EA0CA9EF}"/>
    <cellStyle name="Normal 20" xfId="328" xr:uid="{B7169B37-C4FF-4700-962A-C8D262C1D8A9}"/>
    <cellStyle name="Normal 20 2" xfId="329" xr:uid="{C94628DB-7D08-475C-B04D-590AE0479435}"/>
    <cellStyle name="Normal 20 2 2" xfId="1455" xr:uid="{9C482CE4-5D75-452F-82AA-6590075DE35E}"/>
    <cellStyle name="Normal 20 2 3" xfId="2163" xr:uid="{133AFBA6-10D3-4C97-B797-722F361909A7}"/>
    <cellStyle name="Normal 20 3" xfId="1454" xr:uid="{31F7B9E8-ACB5-4264-A9CD-78548B20FAFB}"/>
    <cellStyle name="Normal 20 4" xfId="2162" xr:uid="{262503D1-5366-4CF3-BC84-A8504C51DF12}"/>
    <cellStyle name="Normal 21" xfId="330" xr:uid="{385D204C-323C-44C6-9183-A5637CD4F646}"/>
    <cellStyle name="Normal 21 2" xfId="331" xr:uid="{90619469-19CB-41AA-B162-83435223B12C}"/>
    <cellStyle name="Normal 21 2 2" xfId="1457" xr:uid="{4E0857BE-31EB-43F3-AB20-9448CD670EF3}"/>
    <cellStyle name="Normal 21 2 3" xfId="2165" xr:uid="{71BF3840-0D54-482F-936F-5918AFC07D56}"/>
    <cellStyle name="Normal 21 3" xfId="1456" xr:uid="{809B31FB-FD5C-46B4-8FFC-2A6E4B435498}"/>
    <cellStyle name="Normal 21 4" xfId="2164" xr:uid="{9B35C873-F1EB-465D-9271-A7463CCE3879}"/>
    <cellStyle name="Normal 22" xfId="332" xr:uid="{4C0FF53E-1A3B-46A9-BD36-A29F592BDD21}"/>
    <cellStyle name="Normal 22 2" xfId="333" xr:uid="{26FC815C-DA40-4633-B3AE-36548E5A522E}"/>
    <cellStyle name="Normal 22 2 2" xfId="1459" xr:uid="{AE33843D-F6B4-4486-B6D0-5642C34060FC}"/>
    <cellStyle name="Normal 22 2 3" xfId="2167" xr:uid="{91D248CA-3B7B-4A0E-A8AE-E6BAAF2AB826}"/>
    <cellStyle name="Normal 22 3" xfId="1458" xr:uid="{C7E703D4-53D2-49ED-B7BB-30947DA6851B}"/>
    <cellStyle name="Normal 22 4" xfId="2166" xr:uid="{B0F9015A-2FED-4B6C-B1C1-8A6A10CEC735}"/>
    <cellStyle name="Normal 23" xfId="334" xr:uid="{FDFC372B-A2CB-4664-AB58-DBDD0EB89AE5}"/>
    <cellStyle name="Normal 23 2" xfId="335" xr:uid="{54ABA732-53B5-4D63-9F06-61AE83E66F0E}"/>
    <cellStyle name="Normal 23 2 2" xfId="1461" xr:uid="{B891A6B8-5A94-43CF-9BCD-377392FB7163}"/>
    <cellStyle name="Normal 23 2 3" xfId="2169" xr:uid="{5539931D-FCC4-40A4-80B2-5A5A93FD9FA5}"/>
    <cellStyle name="Normal 23 3" xfId="1460" xr:uid="{7EA5F72A-DD47-440F-8D58-BE957F774DC3}"/>
    <cellStyle name="Normal 23 4" xfId="2168" xr:uid="{CEA0CB29-FC27-45E1-968D-B443356EBA97}"/>
    <cellStyle name="Normal 24" xfId="336" xr:uid="{78B454D3-3CEB-4A8C-ACA9-A72221D76546}"/>
    <cellStyle name="Normal 24 2" xfId="337" xr:uid="{498B102E-30C7-432A-9704-90FBBC858B29}"/>
    <cellStyle name="Normal 24 2 2" xfId="1463" xr:uid="{F72CF6F7-55B6-4431-B449-6209AFD49218}"/>
    <cellStyle name="Normal 24 2 3" xfId="2171" xr:uid="{B96B2BF8-CB64-479A-9242-5DEF9673EAB6}"/>
    <cellStyle name="Normal 24 3" xfId="1462" xr:uid="{CC9C303C-8D36-4768-BECC-9E903DCA8925}"/>
    <cellStyle name="Normal 24 4" xfId="2170" xr:uid="{7D1FCA87-1F06-4AA3-822D-6297DDD1CF76}"/>
    <cellStyle name="Normal 25" xfId="338" xr:uid="{FBE6541F-1F7F-4BE1-91B4-82D3297A5342}"/>
    <cellStyle name="Normal 25 2" xfId="339" xr:uid="{3EA624EA-BF47-4531-958E-862E55F40362}"/>
    <cellStyle name="Normal 25 2 2" xfId="1465" xr:uid="{C5BC6453-B4A7-4BB0-BC54-F4FAC06E186E}"/>
    <cellStyle name="Normal 25 2 3" xfId="2173" xr:uid="{A79CA849-5DF1-4DA3-8E53-06BA9B172E16}"/>
    <cellStyle name="Normal 25 3" xfId="1464" xr:uid="{21D53C36-10C7-47CA-B72F-169F2B3F6DA2}"/>
    <cellStyle name="Normal 25 4" xfId="2172" xr:uid="{6E9C39D0-890D-4A00-A0CD-FC6AAB4AF8A6}"/>
    <cellStyle name="Normal 26" xfId="340" xr:uid="{436EF822-927A-428A-BEC7-E7F1D0D3BA57}"/>
    <cellStyle name="Normal 26 2" xfId="341" xr:uid="{1593E74F-393C-40A8-8DA4-7AB0D4B9AE18}"/>
    <cellStyle name="Normal 26 2 2" xfId="1467" xr:uid="{5FC1A897-F123-4AC7-B871-B12144DEB053}"/>
    <cellStyle name="Normal 26 2 3" xfId="2175" xr:uid="{96C8CC92-FC16-478E-9F1C-BBABB898A70A}"/>
    <cellStyle name="Normal 26 3" xfId="1466" xr:uid="{EDCD8351-75DE-42BA-8EA2-DDB75D6B7FED}"/>
    <cellStyle name="Normal 26 4" xfId="2174" xr:uid="{432DBE3B-AACA-443A-8AC8-7C73C2C67816}"/>
    <cellStyle name="Normal 27" xfId="342" xr:uid="{C8193C28-1CBE-404F-9BCA-5CE82346376F}"/>
    <cellStyle name="Normal 27 2" xfId="343" xr:uid="{DB4FD616-C16C-483B-8FA9-15A20F24B842}"/>
    <cellStyle name="Normal 27 2 2" xfId="1469" xr:uid="{D58D6F5F-24FB-4F07-A08A-6A6171028FFF}"/>
    <cellStyle name="Normal 27 2 3" xfId="2177" xr:uid="{86245DAD-7F3E-40E7-84C3-4DECDF20A6FF}"/>
    <cellStyle name="Normal 27 3" xfId="1468" xr:uid="{0115F3DF-EA25-4E9C-9063-995B1E90615F}"/>
    <cellStyle name="Normal 27 4" xfId="2176" xr:uid="{3426630F-4CC7-4E7B-8D36-5E6810E5BFB7}"/>
    <cellStyle name="Normal 28" xfId="344" xr:uid="{B9ACA105-7A36-4AA8-9487-CB673E5C0021}"/>
    <cellStyle name="Normal 28 2" xfId="345" xr:uid="{2B29DA05-CA77-46E6-ABCA-8FC1526A7AB0}"/>
    <cellStyle name="Normal 28 2 2" xfId="1471" xr:uid="{316B1692-DD95-4748-9F4B-56942903C4EE}"/>
    <cellStyle name="Normal 28 2 3" xfId="2179" xr:uid="{A56192F8-F699-4F8C-B513-75D6A9747C64}"/>
    <cellStyle name="Normal 28 3" xfId="1470" xr:uid="{F637E20C-AF80-4F33-BE0C-1D0676BA8352}"/>
    <cellStyle name="Normal 28 4" xfId="2178" xr:uid="{7340F8C1-24F8-493A-B328-B9F2192D46D7}"/>
    <cellStyle name="Normal 29" xfId="346" xr:uid="{08519D33-B091-4FF2-865C-5433C32EEBCE}"/>
    <cellStyle name="Normal 29 2" xfId="347" xr:uid="{FBB9D6D3-115A-4F18-B4CA-E98C130CCE48}"/>
    <cellStyle name="Normal 29 2 2" xfId="1473" xr:uid="{8836D016-F2AB-4253-BB15-5AD1F6FB9205}"/>
    <cellStyle name="Normal 29 2 3" xfId="2181" xr:uid="{72C87904-8A48-4A32-BA28-96EA5F228711}"/>
    <cellStyle name="Normal 29 3" xfId="1472" xr:uid="{66E03C87-6E95-484C-AA42-27EB6400B905}"/>
    <cellStyle name="Normal 29 4" xfId="2180" xr:uid="{671BAAE2-87AC-4096-B0F5-23172415733E}"/>
    <cellStyle name="Normal 3" xfId="348" xr:uid="{584EF7E9-BEB0-4431-81DA-376F6DD78DF4}"/>
    <cellStyle name="Normal 3 2" xfId="349" xr:uid="{38D5DFCE-2D8E-485C-8339-C126C33E6138}"/>
    <cellStyle name="Normal 3 2 2" xfId="350" xr:uid="{FD3C6394-450D-4762-A668-97E6670DF12E}"/>
    <cellStyle name="Normal 3 2 2 2" xfId="1475" xr:uid="{EE60B117-0042-4E21-97F5-077D5B02175C}"/>
    <cellStyle name="Normal 3 2 2 3" xfId="2183" xr:uid="{4E076D1F-02D9-4EAC-B6ED-D5AC0D6D720E}"/>
    <cellStyle name="Normal 3 2 3" xfId="1474" xr:uid="{CF4C5CEE-6A49-40E1-9703-0B0EFF0BD646}"/>
    <cellStyle name="Normal 3 2 4" xfId="2182" xr:uid="{B536B504-07F7-4372-8689-6924D13617DD}"/>
    <cellStyle name="Normal 3 3" xfId="351" xr:uid="{2A417DB9-EBFA-4B7D-8583-5DA57979F0B5}"/>
    <cellStyle name="Normal 3 3 2" xfId="352" xr:uid="{25B96162-75D2-4796-9B8D-03BF0CFE8CFA}"/>
    <cellStyle name="Normal 3 3 2 2" xfId="1477" xr:uid="{80A3973E-A968-42CD-8644-222DB1B32621}"/>
    <cellStyle name="Normal 3 3 2 3" xfId="2185" xr:uid="{56966BBE-DCE1-422F-BB4B-79BDABE87902}"/>
    <cellStyle name="Normal 3 3 3" xfId="1476" xr:uid="{83356A50-9067-48BA-9FD5-39AB1F996887}"/>
    <cellStyle name="Normal 3 3 4" xfId="2184" xr:uid="{D59B68DE-AFFF-4B43-A96B-3A98027DF09C}"/>
    <cellStyle name="Normal 3 4" xfId="353" xr:uid="{277496AF-6C16-4A3D-947B-9966E8E33423}"/>
    <cellStyle name="Normal 3 5" xfId="354" xr:uid="{F8C838AB-E532-4AA8-A7BA-D6DD45307222}"/>
    <cellStyle name="Normal 3 5 2" xfId="1478" xr:uid="{9B76BF3D-AA0C-4F1D-B7F7-CB559AB64797}"/>
    <cellStyle name="Normal 3 5 3" xfId="2186" xr:uid="{11E15A82-877E-45A4-A14B-8C942E6B62F0}"/>
    <cellStyle name="Normal 3 6" xfId="1715" xr:uid="{ECD5576B-3DEF-4091-AB15-5AF52247CCEC}"/>
    <cellStyle name="Normal 3 6 2" xfId="2994" xr:uid="{A2F6A581-48EE-4A87-B9BB-844BE4A56365}"/>
    <cellStyle name="Normal 30" xfId="355" xr:uid="{95542E46-9248-4236-9B88-2D37CEC90A9C}"/>
    <cellStyle name="Normal 30 2" xfId="356" xr:uid="{A9182620-5223-477E-8935-09157476C553}"/>
    <cellStyle name="Normal 30 2 2" xfId="1480" xr:uid="{705C1D4D-2888-4A68-BE1F-F21301C2C7DA}"/>
    <cellStyle name="Normal 30 2 3" xfId="2188" xr:uid="{41C87A4F-8BD2-45E5-8AD2-02467297CBBE}"/>
    <cellStyle name="Normal 30 3" xfId="1479" xr:uid="{0474080F-61FC-436C-B6A0-17D39BC0AF44}"/>
    <cellStyle name="Normal 30 4" xfId="2187" xr:uid="{68500E3F-8850-4D29-9029-A9B887FA77FC}"/>
    <cellStyle name="Normal 31" xfId="357" xr:uid="{B00E8C5D-0D71-46E4-8B4C-1821D73F6AAA}"/>
    <cellStyle name="Normal 31 2" xfId="358" xr:uid="{864403C8-8AF5-4823-9EB3-21A28B66F8C0}"/>
    <cellStyle name="Normal 31 2 2" xfId="1482" xr:uid="{21CB39A8-4F25-40D3-B85E-6796B320CC88}"/>
    <cellStyle name="Normal 31 2 3" xfId="2190" xr:uid="{74A50670-8DC8-4601-84BA-F6F883382B42}"/>
    <cellStyle name="Normal 31 3" xfId="1481" xr:uid="{3CC58AD0-2CD9-4AF8-912F-267C8052BCF4}"/>
    <cellStyle name="Normal 31 4" xfId="2189" xr:uid="{2BE4E0FD-D73F-46A0-91D6-2B3B8BE5AEE6}"/>
    <cellStyle name="Normal 32" xfId="359" xr:uid="{FB5E265C-EDF2-471C-BE30-F91F6DD902E7}"/>
    <cellStyle name="Normal 32 2" xfId="360" xr:uid="{C06F50E1-83EE-483C-A850-1BCC724DDAE1}"/>
    <cellStyle name="Normal 32 2 2" xfId="1484" xr:uid="{83F8BC9D-E3F9-421B-AF87-1478A09FF8CA}"/>
    <cellStyle name="Normal 32 2 3" xfId="2192" xr:uid="{71780BB2-611F-4ABE-B939-F7AD83A90B44}"/>
    <cellStyle name="Normal 32 3" xfId="1483" xr:uid="{63C9359A-F6BD-48A6-B61F-8B4A3ADEF1F1}"/>
    <cellStyle name="Normal 32 4" xfId="2191" xr:uid="{FBE3AFEE-6D52-47FF-8884-89091D2B50AD}"/>
    <cellStyle name="Normal 33" xfId="361" xr:uid="{5380F982-0E01-40EC-B3A9-F609F8B1D5A5}"/>
    <cellStyle name="Normal 33 2" xfId="362" xr:uid="{749FB21C-D848-4486-8B12-220B2A9CC24A}"/>
    <cellStyle name="Normal 33 2 2" xfId="1486" xr:uid="{B5028E31-30A5-4693-B18B-1CF8D0D6C9E1}"/>
    <cellStyle name="Normal 33 2 3" xfId="2194" xr:uid="{F8087F39-9AE1-417B-BABF-E350331C0F56}"/>
    <cellStyle name="Normal 33 3" xfId="1485" xr:uid="{0AF89364-7042-445F-AE36-D078F73FA5D6}"/>
    <cellStyle name="Normal 33 4" xfId="2193" xr:uid="{31AEDD6B-17D0-4C29-8BDE-D774DD2C9D8A}"/>
    <cellStyle name="Normal 34" xfId="363" xr:uid="{DBADF99B-55E4-40C5-BF82-E021A168068D}"/>
    <cellStyle name="Normal 34 2" xfId="364" xr:uid="{84C0B5C1-8AA1-4E17-BA54-E1B366CDC3F4}"/>
    <cellStyle name="Normal 35" xfId="365" xr:uid="{E93F51DD-CA8F-42E5-A900-AFA93C165189}"/>
    <cellStyle name="Normal 35 2" xfId="366" xr:uid="{4A0DD987-23D7-4B47-B30E-E54418434F27}"/>
    <cellStyle name="Normal 35 2 2" xfId="1488" xr:uid="{B5E6C3E0-7EEE-4090-A79F-EF31BC5134AC}"/>
    <cellStyle name="Normal 35 2 3" xfId="2196" xr:uid="{93E741DE-9E21-484C-BB83-83DE259561A4}"/>
    <cellStyle name="Normal 35 3" xfId="1487" xr:uid="{B873C5C9-1DFC-45C5-B9C2-EF0F99EACC5E}"/>
    <cellStyle name="Normal 35 4" xfId="2195" xr:uid="{C83F50AA-7D4F-4B0D-9B82-36DF97F02D22}"/>
    <cellStyle name="Normal 36" xfId="367" xr:uid="{DCBAA794-4EB5-4708-8C10-618912317ADD}"/>
    <cellStyle name="Normal 36 2" xfId="368" xr:uid="{E48B9FCC-CC7B-4472-B2B3-7FA649FCCB26}"/>
    <cellStyle name="Normal 36 2 2" xfId="1490" xr:uid="{7860D3E5-FD82-4B4D-B332-B91D9321B39A}"/>
    <cellStyle name="Normal 36 2 3" xfId="2198" xr:uid="{47A643A8-FC1D-44E7-8FD2-66F65C0959F1}"/>
    <cellStyle name="Normal 36 3" xfId="1489" xr:uid="{5211D1F3-8F50-4B11-9350-EF7CE37E984B}"/>
    <cellStyle name="Normal 36 4" xfId="2197" xr:uid="{285A1D3A-C7A1-4E21-96DB-2AED4595105F}"/>
    <cellStyle name="Normal 37" xfId="369" xr:uid="{877885AE-B0A6-42E3-B225-7644E149EB49}"/>
    <cellStyle name="Normal 37 2" xfId="370" xr:uid="{CA82D96B-32B3-46B3-9ABB-7C8F698DA0E1}"/>
    <cellStyle name="Normal 37 2 2" xfId="1492" xr:uid="{FD9EB111-62D0-4CAB-9A4C-B2D1AE56F3A8}"/>
    <cellStyle name="Normal 37 2 3" xfId="2200" xr:uid="{A086733F-FAEA-43A2-AF8A-D84018F7BDEF}"/>
    <cellStyle name="Normal 37 3" xfId="1491" xr:uid="{5642DD50-A1FB-48FA-B24F-7FB0F99209BC}"/>
    <cellStyle name="Normal 37 4" xfId="2199" xr:uid="{9FFEE8E4-119E-4E53-BFAE-09D8952631E2}"/>
    <cellStyle name="Normal 38" xfId="371" xr:uid="{AE09BD86-BC64-4CD4-A11F-674E45D1E457}"/>
    <cellStyle name="Normal 38 2" xfId="372" xr:uid="{CBDF099E-3FAB-4AC6-BE7E-6D83DE78A98A}"/>
    <cellStyle name="Normal 38 2 2" xfId="1494" xr:uid="{4108FE11-9988-4904-9EE2-2C7752C48C7F}"/>
    <cellStyle name="Normal 38 2 3" xfId="2202" xr:uid="{2DA3792A-23D3-467B-ADE1-F5F537755F76}"/>
    <cellStyle name="Normal 38 3" xfId="1493" xr:uid="{31BF689E-7400-486A-825F-14D8C8233584}"/>
    <cellStyle name="Normal 38 4" xfId="2201" xr:uid="{5C9BA68E-1C77-4699-9BF7-49A4F7D62DB7}"/>
    <cellStyle name="Normal 39" xfId="373" xr:uid="{E3C5525A-3062-4995-AC60-983132A73B22}"/>
    <cellStyle name="Normal 39 2" xfId="374" xr:uid="{90832570-B288-4BDB-B735-183091387D17}"/>
    <cellStyle name="Normal 39 2 2" xfId="1496" xr:uid="{E42C4432-9B59-4EE1-8804-1B8825633333}"/>
    <cellStyle name="Normal 39 2 3" xfId="2204" xr:uid="{E210DFA5-335D-4DD9-BFDA-21A31C4817D7}"/>
    <cellStyle name="Normal 39 3" xfId="1495" xr:uid="{983FDB8A-3DCC-4ABF-9BDD-76A8F191B635}"/>
    <cellStyle name="Normal 39 4" xfId="2203" xr:uid="{D49360BE-EC3E-48BD-8C98-88E3D43CBCEE}"/>
    <cellStyle name="Normal 4" xfId="375" xr:uid="{3A758288-34B6-4ABD-9332-9BA06B5F559C}"/>
    <cellStyle name="Normal 4 2" xfId="376" xr:uid="{328CB732-1617-4617-8F3E-7FB7F1A16590}"/>
    <cellStyle name="Normal 4 3" xfId="714" xr:uid="{A77696CE-FAF6-48DF-8554-D90D9440619C}"/>
    <cellStyle name="Normal 4 3 2" xfId="1687" xr:uid="{C0D962F5-AF6B-4375-B177-2659FE0C28D0}"/>
    <cellStyle name="Normal 4 3 3" xfId="2395" xr:uid="{0B4F2758-2BA1-4049-8E6D-0C4CDE37BC9B}"/>
    <cellStyle name="Normal 40" xfId="377" xr:uid="{FD5F9F00-32E0-4C8C-81C4-EBCFFDEB2A58}"/>
    <cellStyle name="Normal 40 2" xfId="378" xr:uid="{8EC35037-6221-48F8-A745-FC32A1450C66}"/>
    <cellStyle name="Normal 40 2 2" xfId="1498" xr:uid="{B0E6E863-BAAB-4505-85DD-21567CA36715}"/>
    <cellStyle name="Normal 40 2 3" xfId="2206" xr:uid="{77F7CE81-DA48-42D8-AAB0-6DCB68495018}"/>
    <cellStyle name="Normal 40 3" xfId="1497" xr:uid="{3FC4906E-BBD7-42B3-8665-6951EE0B8924}"/>
    <cellStyle name="Normal 40 4" xfId="2205" xr:uid="{007282C2-9F53-4103-ABB3-3B1E8AB1CD74}"/>
    <cellStyle name="Normal 41" xfId="379" xr:uid="{583A7067-31DD-4E68-88DC-1EC4AF3C7491}"/>
    <cellStyle name="Normal 41 2" xfId="380" xr:uid="{F045BAF0-1250-4294-842C-75EA29B733B0}"/>
    <cellStyle name="Normal 41 2 2" xfId="1500" xr:uid="{34A5AB1A-B583-41CB-8BB0-1B5E3A9A580C}"/>
    <cellStyle name="Normal 41 2 3" xfId="2208" xr:uid="{AB1BC8A6-4006-4C1C-ABBC-E932DE270777}"/>
    <cellStyle name="Normal 41 3" xfId="1499" xr:uid="{9F2E300A-8714-4042-BF59-B0C76AFDEAB8}"/>
    <cellStyle name="Normal 41 4" xfId="2207" xr:uid="{89C7C0BE-ABB8-4F38-A61C-DA0BC81046D1}"/>
    <cellStyle name="Normal 42" xfId="381" xr:uid="{37C8B0A9-677B-4D32-B64E-80032754E502}"/>
    <cellStyle name="Normal 42 2" xfId="382" xr:uid="{75252291-4E5D-47DA-9D4C-D6E760442F0F}"/>
    <cellStyle name="Normal 42 2 2" xfId="1502" xr:uid="{BC59987D-BD73-40EC-8287-82BC36ED3BF9}"/>
    <cellStyle name="Normal 42 2 3" xfId="2210" xr:uid="{91A217F0-A3B4-49AF-B5DB-1B7D30F96CE9}"/>
    <cellStyle name="Normal 42 3" xfId="1501" xr:uid="{684FCBC7-F097-4B8D-9121-18662401071A}"/>
    <cellStyle name="Normal 42 4" xfId="2209" xr:uid="{2DEDCBD7-C880-4A4B-B20C-DD323FB327C0}"/>
    <cellStyle name="Normal 43" xfId="383" xr:uid="{77865453-7C1D-4DA6-BD97-496C52A7F77C}"/>
    <cellStyle name="Normal 43 2" xfId="384" xr:uid="{3C44A3AF-E515-4026-B910-9E02C7904135}"/>
    <cellStyle name="Normal 43 2 2" xfId="1504" xr:uid="{1DD57A0F-6942-44DB-961C-81FCA1D5D960}"/>
    <cellStyle name="Normal 43 2 3" xfId="2212" xr:uid="{C65A2481-5E20-4233-A588-80632EB230D2}"/>
    <cellStyle name="Normal 43 3" xfId="1503" xr:uid="{A29FFB0D-3F8A-4511-97A1-FB13BAA2D968}"/>
    <cellStyle name="Normal 43 4" xfId="2211" xr:uid="{6955876F-D982-45D3-93BF-69E57D78B492}"/>
    <cellStyle name="Normal 44" xfId="385" xr:uid="{F282FF12-CA68-4DF9-861E-88556152D054}"/>
    <cellStyle name="Normal 44 2" xfId="386" xr:uid="{3B80E5A2-788F-449F-B68B-4ED577AFEC36}"/>
    <cellStyle name="Normal 44 2 2" xfId="1506" xr:uid="{5174EE04-5EA9-4C4D-B50E-7C4395E5092E}"/>
    <cellStyle name="Normal 44 2 3" xfId="2214" xr:uid="{09D99A99-2F2D-45EE-9CCB-B8E61A212DAD}"/>
    <cellStyle name="Normal 44 3" xfId="1505" xr:uid="{A913A860-3D5A-4366-83EF-04FBCBD05DE5}"/>
    <cellStyle name="Normal 44 4" xfId="2213" xr:uid="{DD958DB0-73A0-416D-B88C-5F457DC8A1CB}"/>
    <cellStyle name="Normal 45" xfId="387" xr:uid="{D3577C37-B472-4252-BBBC-408BB759BAF3}"/>
    <cellStyle name="Normal 45 2" xfId="388" xr:uid="{1356C819-F4BD-4B63-B7AA-154997F8E376}"/>
    <cellStyle name="Normal 45 2 2" xfId="1508" xr:uid="{B6125A3A-01A6-4555-B5A8-9F5208D6B528}"/>
    <cellStyle name="Normal 45 2 3" xfId="2216" xr:uid="{966C4EA5-91F9-478B-AE11-F42067E66D94}"/>
    <cellStyle name="Normal 45 3" xfId="1507" xr:uid="{6BE789FA-B0A6-4AD6-914C-FEDF03BB9094}"/>
    <cellStyle name="Normal 45 4" xfId="2215" xr:uid="{B931B39E-A2A4-4574-8906-1A52BA0D7C10}"/>
    <cellStyle name="Normal 46" xfId="389" xr:uid="{37DEF1A8-67F7-4788-879C-561D44A3874D}"/>
    <cellStyle name="Normal 46 2" xfId="390" xr:uid="{89BAE775-C589-4897-BB13-18672AF57400}"/>
    <cellStyle name="Normal 46 2 2" xfId="1510" xr:uid="{FF232AB4-6890-4103-89A6-CC2B647AF679}"/>
    <cellStyle name="Normal 46 2 3" xfId="2218" xr:uid="{C77E085A-3C78-46C6-8253-EB59D946BD43}"/>
    <cellStyle name="Normal 46 3" xfId="1509" xr:uid="{446D513C-5B08-4E5B-A587-E4395CDAB63B}"/>
    <cellStyle name="Normal 46 4" xfId="2217" xr:uid="{A1E5DF8B-2FB9-4AED-94EF-D0096C6EC4AA}"/>
    <cellStyle name="Normal 47" xfId="391" xr:uid="{6D78BA75-0A2B-41A5-B7B2-A159AA09FF21}"/>
    <cellStyle name="Normal 47 2" xfId="392" xr:uid="{F5F8091F-77F5-4082-B64A-1052D4C95BCA}"/>
    <cellStyle name="Normal 47 2 2" xfId="1512" xr:uid="{6324B415-1493-49E6-A656-813C34272E5D}"/>
    <cellStyle name="Normal 47 2 3" xfId="2220" xr:uid="{DCA512E8-BB57-4F57-911D-A124FF9131B9}"/>
    <cellStyle name="Normal 47 3" xfId="1511" xr:uid="{AAA3DC1F-1F7C-4190-8C6D-685668885F1A}"/>
    <cellStyle name="Normal 47 4" xfId="2219" xr:uid="{18CC39D7-E673-4053-9ACB-96659285B5F3}"/>
    <cellStyle name="Normal 48" xfId="393" xr:uid="{4E367D1B-7EB7-4ED5-B097-14192AF2FD77}"/>
    <cellStyle name="Normal 48 2" xfId="394" xr:uid="{3F065799-1215-4C16-9C0F-32B6F37E1427}"/>
    <cellStyle name="Normal 48 2 2" xfId="1514" xr:uid="{941E96CF-7354-4EEB-B934-B11C6EBFC998}"/>
    <cellStyle name="Normal 48 2 3" xfId="2222" xr:uid="{69A50355-D0DD-4A03-8C63-4D6ECA0C5199}"/>
    <cellStyle name="Normal 48 3" xfId="1513" xr:uid="{A76848FB-D7E5-4561-9C18-D2839C80972A}"/>
    <cellStyle name="Normal 48 4" xfId="2221" xr:uid="{C4821611-A4F1-443A-A99A-272F1AF1D855}"/>
    <cellStyle name="Normal 49" xfId="395" xr:uid="{85527D31-943A-4D2A-8B6F-5B09902D1821}"/>
    <cellStyle name="Normal 49 2" xfId="396" xr:uid="{B00CB540-1C52-4084-A09C-18E39CDE94E0}"/>
    <cellStyle name="Normal 49 2 2" xfId="1516" xr:uid="{7A86347D-7C3E-46A9-837E-BE002E29D762}"/>
    <cellStyle name="Normal 49 2 3" xfId="2224" xr:uid="{286ACBC4-3627-4A84-AF8E-6C266AB4425E}"/>
    <cellStyle name="Normal 49 3" xfId="1515" xr:uid="{5C8B9C34-1DED-4F68-9A65-8F9E29C83A07}"/>
    <cellStyle name="Normal 49 4" xfId="2223" xr:uid="{FF6E7648-67AF-4692-8A5C-44D1750F47B7}"/>
    <cellStyle name="Normal 5" xfId="397" xr:uid="{BC6E62B3-DC0F-40A7-A019-001E0E9D5BC3}"/>
    <cellStyle name="Normal 5 2" xfId="1517" xr:uid="{5FBB354B-1738-4207-80B7-ABA1E9EB9E34}"/>
    <cellStyle name="Normal 5 3" xfId="2225" xr:uid="{1F6E6B05-4185-4AD9-A476-899E34220B1A}"/>
    <cellStyle name="Normal 50" xfId="398" xr:uid="{6D474C8D-5451-46DB-9FE0-DAAB846372B8}"/>
    <cellStyle name="Normal 50 2" xfId="399" xr:uid="{8803A57B-5666-4D4D-A643-DA0A5958655B}"/>
    <cellStyle name="Normal 50 2 2" xfId="1519" xr:uid="{83164FBA-6D54-4A60-A6D2-340AAE68DF93}"/>
    <cellStyle name="Normal 50 2 3" xfId="2227" xr:uid="{1BF69071-7DBD-428F-91C7-B55FB3B8A970}"/>
    <cellStyle name="Normal 50 3" xfId="1518" xr:uid="{12B25FEC-3B23-4022-9C83-C4E0937E64C8}"/>
    <cellStyle name="Normal 50 4" xfId="2226" xr:uid="{D14F60DF-4F7A-4DB1-B24D-450D7CF4E08D}"/>
    <cellStyle name="Normal 51" xfId="400" xr:uid="{4E0EB882-9C8F-48A2-9FF6-356A32A724EA}"/>
    <cellStyle name="Normal 51 2" xfId="401" xr:uid="{33B71C86-0126-44BD-9A2C-77AB2427B6D9}"/>
    <cellStyle name="Normal 52" xfId="402" xr:uid="{3A7B2E59-9F22-41C1-AE21-1F51EE2006FC}"/>
    <cellStyle name="Normal 52 2" xfId="403" xr:uid="{C9269F3B-B9B0-4AE0-AAD5-EB2F1652B589}"/>
    <cellStyle name="Normal 52 2 2" xfId="1521" xr:uid="{42DA8AE5-C815-4AD8-A1C5-0C64D7B49FA1}"/>
    <cellStyle name="Normal 52 2 3" xfId="2229" xr:uid="{3EB26E56-EF4E-4CC2-81E3-68D9FD8682D7}"/>
    <cellStyle name="Normal 52 3" xfId="1520" xr:uid="{ED2506CE-9D16-4C88-8325-DF64D58458E2}"/>
    <cellStyle name="Normal 52 4" xfId="2228" xr:uid="{3198ACBC-824F-438A-8674-3D66CC70F831}"/>
    <cellStyle name="Normal 53" xfId="404" xr:uid="{EE3D5A6B-B823-426B-B77B-80DF398D9DD1}"/>
    <cellStyle name="Normal 53 2" xfId="405" xr:uid="{7A56A60A-C218-4012-8DF1-0007D8D6BCFA}"/>
    <cellStyle name="Normal 53 2 2" xfId="1523" xr:uid="{896C7520-8234-403E-859D-1B28F24E506B}"/>
    <cellStyle name="Normal 53 2 3" xfId="2231" xr:uid="{48DC94B5-F433-4298-9A0F-EB4356DB15C4}"/>
    <cellStyle name="Normal 53 3" xfId="1522" xr:uid="{AB5F0104-9086-4FA0-9F96-73A6CC1F15C8}"/>
    <cellStyle name="Normal 53 4" xfId="2230" xr:uid="{CA6118EA-E2CB-440A-9C9F-999150EB62D9}"/>
    <cellStyle name="Normal 54" xfId="406" xr:uid="{672469D5-E3F5-4571-A103-3E33311ECA2E}"/>
    <cellStyle name="Normal 54 2" xfId="407" xr:uid="{6DFCCAED-5B22-4664-BEDA-D3A52CB88BD8}"/>
    <cellStyle name="Normal 54 2 2" xfId="1525" xr:uid="{9440AF53-176C-4296-89DC-32D01D764484}"/>
    <cellStyle name="Normal 54 2 3" xfId="2233" xr:uid="{514ADB82-9326-4D51-9670-9DF46DE65BE9}"/>
    <cellStyle name="Normal 54 3" xfId="1524" xr:uid="{83A87DFA-AEBB-427C-A5D1-31C79D0698A8}"/>
    <cellStyle name="Normal 54 4" xfId="2232" xr:uid="{AAB40A76-F31A-4162-AA94-45D616A892DB}"/>
    <cellStyle name="Normal 55" xfId="408" xr:uid="{CAF7BDD6-1438-46B4-9734-995843DB69EB}"/>
    <cellStyle name="Normal 55 2" xfId="409" xr:uid="{21BE63CF-9267-46E5-927D-2A20DBE6701D}"/>
    <cellStyle name="Normal 55 2 2" xfId="1527" xr:uid="{9FB3E3FB-A446-4B83-9BE3-7F658C0B3714}"/>
    <cellStyle name="Normal 55 2 3" xfId="2235" xr:uid="{43A3A326-E9DD-41D6-BC7E-5D5FB983EAC5}"/>
    <cellStyle name="Normal 55 3" xfId="1526" xr:uid="{997B4D00-AE60-4D2C-BC03-7F3310295433}"/>
    <cellStyle name="Normal 55 4" xfId="2234" xr:uid="{10D32ED6-165E-478C-91C1-C6DAB30E85D5}"/>
    <cellStyle name="Normal 56" xfId="410" xr:uid="{E1D6D2DF-BC00-4DA6-993B-A3EAEB90601C}"/>
    <cellStyle name="Normal 56 2" xfId="411" xr:uid="{4EB1B765-BF1B-44CF-8DD2-5CC6B001520D}"/>
    <cellStyle name="Normal 56 2 2" xfId="1529" xr:uid="{32ADAF23-75E7-4581-A019-9E83B9B7DE36}"/>
    <cellStyle name="Normal 56 2 3" xfId="2237" xr:uid="{FA40EEFD-CB9A-4592-A5E3-137AA1CD2B34}"/>
    <cellStyle name="Normal 56 3" xfId="1528" xr:uid="{C7352042-3478-4F00-AB3E-F8FD207B6072}"/>
    <cellStyle name="Normal 56 4" xfId="2236" xr:uid="{E9521058-9B3E-4A82-AD92-EFEECFCC526E}"/>
    <cellStyle name="Normal 57" xfId="412" xr:uid="{DD66B789-5918-41C7-B357-6EB92E33E5F7}"/>
    <cellStyle name="Normal 57 2" xfId="413" xr:uid="{FCC8872B-A7DD-48DB-B612-0866D1575CDC}"/>
    <cellStyle name="Normal 57 2 2" xfId="1531" xr:uid="{40045CBB-CE4F-4F3C-A16F-05536153540F}"/>
    <cellStyle name="Normal 57 2 3" xfId="2239" xr:uid="{7953CF9F-5D28-4C81-90D5-C7C7206DDD95}"/>
    <cellStyle name="Normal 57 3" xfId="1530" xr:uid="{4352BDF9-3116-4B0F-8124-25E03EDBE050}"/>
    <cellStyle name="Normal 57 4" xfId="2238" xr:uid="{421301C9-5AD3-43B3-9CE0-59AC45E8B346}"/>
    <cellStyle name="Normal 58" xfId="414" xr:uid="{358CDAA6-43E8-4239-8EE6-8011D398357E}"/>
    <cellStyle name="Normal 58 2" xfId="415" xr:uid="{7473F412-75C4-4140-BD8E-62FA398985EA}"/>
    <cellStyle name="Normal 58 2 2" xfId="1533" xr:uid="{E8E13939-3D4E-4679-96C1-90B54721FFF0}"/>
    <cellStyle name="Normal 58 2 3" xfId="2241" xr:uid="{2A977693-2B97-4987-83BD-59DC03D429BF}"/>
    <cellStyle name="Normal 58 3" xfId="1532" xr:uid="{E258E616-FC70-4531-8596-C38049BD2157}"/>
    <cellStyle name="Normal 58 4" xfId="2240" xr:uid="{5A6DD906-C7D9-4D8B-84F5-8891B9768846}"/>
    <cellStyle name="Normal 59" xfId="416" xr:uid="{B9919031-851D-4BAE-9DB1-3BB1576A10E5}"/>
    <cellStyle name="Normal 59 2" xfId="417" xr:uid="{1401FD49-3B0F-436E-9774-36EAD2C5905F}"/>
    <cellStyle name="Normal 6" xfId="418" xr:uid="{6199B064-1320-453A-9D23-A4A30A5E9B77}"/>
    <cellStyle name="Normal 6 2" xfId="419" xr:uid="{D2F417BB-3FAE-485B-BD89-7B29F0B2C499}"/>
    <cellStyle name="Normal 6 2 2" xfId="1535" xr:uid="{6A743DAC-DF62-445A-9D2C-B312B8EEB051}"/>
    <cellStyle name="Normal 6 2 3" xfId="2243" xr:uid="{8BAB638D-1B1F-4EBC-BCBC-A8BE5D4DE6AF}"/>
    <cellStyle name="Normal 6 3" xfId="1534" xr:uid="{0EE246A8-C366-4A04-A537-5A6F1820B85B}"/>
    <cellStyle name="Normal 6 4" xfId="2242" xr:uid="{C68205F4-735C-464C-9886-00B0AC5B2F04}"/>
    <cellStyle name="Normal 60" xfId="420" xr:uid="{D69CD72F-CCE7-4523-A9DF-F05657AACAE5}"/>
    <cellStyle name="Normal 60 2" xfId="421" xr:uid="{199BDF97-7BE2-4B20-926B-03EB079E6724}"/>
    <cellStyle name="Normal 60 2 2" xfId="1537" xr:uid="{922463D9-4E10-4223-8EC7-8FDFC4CCC951}"/>
    <cellStyle name="Normal 60 2 3" xfId="2245" xr:uid="{08612968-0011-4C05-861F-174B6B7EA835}"/>
    <cellStyle name="Normal 60 3" xfId="1536" xr:uid="{A9B01377-DC21-42FF-9BDF-D30D1D5FBB8E}"/>
    <cellStyle name="Normal 60 4" xfId="2244" xr:uid="{F843D8E2-E279-43E4-9CBB-1414758E28EE}"/>
    <cellStyle name="Normal 61" xfId="422" xr:uid="{825F9CF4-DD59-4CF1-851D-AD4171CB4EF6}"/>
    <cellStyle name="Normal 61 2" xfId="423" xr:uid="{21C14528-6481-4A7F-97EE-5CAF13E06C62}"/>
    <cellStyle name="Normal 61 2 2" xfId="1539" xr:uid="{44BFEBEA-0CE4-4A74-9DF8-6469686E3D01}"/>
    <cellStyle name="Normal 61 2 3" xfId="2247" xr:uid="{9FE3DE2E-BA5C-417A-9658-2DEE2ABF35E8}"/>
    <cellStyle name="Normal 61 3" xfId="1538" xr:uid="{E7199B66-A97E-4BA0-AFCB-B77A966A40C1}"/>
    <cellStyle name="Normal 61 4" xfId="2246" xr:uid="{A7C7F606-91B6-4D8D-8996-0BEEED8EDA04}"/>
    <cellStyle name="Normal 62" xfId="424" xr:uid="{3AEAFAED-7FD6-42E4-B4F0-22913D716536}"/>
    <cellStyle name="Normal 62 2" xfId="425" xr:uid="{3592A0FD-5292-4B7D-835B-655708F79D27}"/>
    <cellStyle name="Normal 63" xfId="426" xr:uid="{AA99DE8E-06DB-40A0-8920-1884AEEF37EE}"/>
    <cellStyle name="Normal 63 2" xfId="427" xr:uid="{7178EF50-EC97-41D2-9177-4FC5F042000A}"/>
    <cellStyle name="Normal 63 2 2" xfId="1541" xr:uid="{1ACD3384-186B-4A0F-8A71-28C64AA416D3}"/>
    <cellStyle name="Normal 63 2 3" xfId="2249" xr:uid="{5A3A9F19-C1C5-4121-B9BF-D43023B7B13A}"/>
    <cellStyle name="Normal 63 3" xfId="1540" xr:uid="{192401B2-0619-43B4-8010-7329CBC51D8F}"/>
    <cellStyle name="Normal 63 4" xfId="2248" xr:uid="{8D7151D4-3CDA-4296-92E8-AC43C2B7D164}"/>
    <cellStyle name="Normal 64" xfId="428" xr:uid="{2F5342EB-A328-40A1-8B97-1C752A65F37A}"/>
    <cellStyle name="Normal 64 2" xfId="429" xr:uid="{B0482CDC-1FBF-4CF3-AC63-4FFB10C3BC91}"/>
    <cellStyle name="Normal 64 2 2" xfId="1543" xr:uid="{4DD29EDC-C9E9-4C0E-9295-67F8C432310E}"/>
    <cellStyle name="Normal 64 2 3" xfId="2251" xr:uid="{5BF097CB-E017-442B-B232-F827027C651A}"/>
    <cellStyle name="Normal 64 3" xfId="1542" xr:uid="{436B9033-82DF-4689-A32F-8B03E84F7602}"/>
    <cellStyle name="Normal 64 4" xfId="2250" xr:uid="{D210EE26-4D99-4BE9-B249-E770F6A2452E}"/>
    <cellStyle name="Normal 65" xfId="430" xr:uid="{0F83AE12-95C8-48F3-87F2-55361FBF789D}"/>
    <cellStyle name="Normal 65 2" xfId="431" xr:uid="{8958849B-E127-4CE8-B881-9F2EBA7C2AAC}"/>
    <cellStyle name="Normal 65 2 2" xfId="1545" xr:uid="{0128AA82-F2FF-4BC4-9571-01C6184E5602}"/>
    <cellStyle name="Normal 65 2 3" xfId="2253" xr:uid="{DF0F815E-CCC0-474A-AEB5-3B0A6C30B68B}"/>
    <cellStyle name="Normal 65 3" xfId="1544" xr:uid="{15E40D82-5008-449E-8760-EBCD8DB949D4}"/>
    <cellStyle name="Normal 65 4" xfId="2252" xr:uid="{F0957F20-5B54-4147-9782-62FD02BC441D}"/>
    <cellStyle name="Normal 66" xfId="432" xr:uid="{5A7AF494-587C-4E26-9EAC-FC107AA0357C}"/>
    <cellStyle name="Normal 66 2" xfId="433" xr:uid="{302AAEF8-AFA2-4E20-A5E5-ACD935DDE071}"/>
    <cellStyle name="Normal 66 2 2" xfId="1547" xr:uid="{32FB07DA-40B4-498F-809A-EAF4662BDF48}"/>
    <cellStyle name="Normal 66 2 3" xfId="2255" xr:uid="{78F21B32-343D-4F3C-B276-D465A673A721}"/>
    <cellStyle name="Normal 66 3" xfId="1546" xr:uid="{6AC5D8E2-112C-45A9-9C6D-AEDADC7457A6}"/>
    <cellStyle name="Normal 66 4" xfId="2254" xr:uid="{C7C9A5DE-21BB-42E5-8A5A-DA576E974ED9}"/>
    <cellStyle name="Normal 67" xfId="434" xr:uid="{9CE0B31D-2514-48F8-9AAF-72FC79E4EAE9}"/>
    <cellStyle name="Normal 67 2" xfId="435" xr:uid="{F202468A-A570-402A-AC12-4B722458D00A}"/>
    <cellStyle name="Normal 67 2 2" xfId="1549" xr:uid="{6F4A2B88-97C8-4294-9B7C-3C7EF3664889}"/>
    <cellStyle name="Normal 67 2 3" xfId="2257" xr:uid="{36D806FB-4852-4156-A80F-382BC33D9214}"/>
    <cellStyle name="Normal 67 3" xfId="1548" xr:uid="{6D8BA24E-9265-497B-8F0E-9BE4D9E2C82C}"/>
    <cellStyle name="Normal 67 4" xfId="2256" xr:uid="{D37F6859-7D5A-4F98-B7B7-FE31EACC0327}"/>
    <cellStyle name="Normal 68" xfId="436" xr:uid="{3875F680-5215-4D91-A528-E179E5CF531D}"/>
    <cellStyle name="Normal 68 2" xfId="437" xr:uid="{F072DC67-BF32-426C-B306-EB954FBF7EFA}"/>
    <cellStyle name="Normal 68 2 2" xfId="1551" xr:uid="{08D1AC65-075B-431E-BD37-6CDD9BC9EAC2}"/>
    <cellStyle name="Normal 68 2 3" xfId="2259" xr:uid="{06809B13-82BD-41EE-80A4-7E0B0538E05D}"/>
    <cellStyle name="Normal 68 3" xfId="1550" xr:uid="{F944A5A3-D517-4D41-B6BB-F9849F8FAFAD}"/>
    <cellStyle name="Normal 68 4" xfId="2258" xr:uid="{A3887163-AEA9-451D-A2ED-93F321F5D5B9}"/>
    <cellStyle name="Normal 69" xfId="438" xr:uid="{CBDD2738-28F3-4497-9982-3041EB338FA3}"/>
    <cellStyle name="Normal 69 2" xfId="439" xr:uid="{3BAC3A33-A3C3-4CFA-976E-49B69D27B301}"/>
    <cellStyle name="Normal 69 2 2" xfId="1553" xr:uid="{3573C427-234C-41B6-B17D-5049C45F8968}"/>
    <cellStyle name="Normal 69 2 3" xfId="2261" xr:uid="{AFB94C92-4107-4B28-9CC7-846FC1586E05}"/>
    <cellStyle name="Normal 69 3" xfId="1552" xr:uid="{71BB1017-ED39-40A7-A4A6-AA969C28A111}"/>
    <cellStyle name="Normal 69 4" xfId="2260" xr:uid="{9BF691D3-C0F8-49F5-90DC-41C0185D2AF8}"/>
    <cellStyle name="Normal 7" xfId="440" xr:uid="{8841107F-3698-454D-A49D-F74DD51F93A4}"/>
    <cellStyle name="Normal 70" xfId="441" xr:uid="{AA1CFCB1-6E86-4AEA-8D50-4512F58DFC2D}"/>
    <cellStyle name="Normal 70 2" xfId="442" xr:uid="{A496750F-ACB4-4A1C-910D-DDC8C40D3AFD}"/>
    <cellStyle name="Normal 70 2 2" xfId="1555" xr:uid="{59557CC0-CE40-4826-89BB-AB37C7E222A6}"/>
    <cellStyle name="Normal 70 2 3" xfId="2263" xr:uid="{B8013E31-E8F3-4327-AEA9-64EC3F1B08F0}"/>
    <cellStyle name="Normal 70 3" xfId="1554" xr:uid="{8A6CABCD-6C3D-40C2-8E3A-655E716C55D6}"/>
    <cellStyle name="Normal 70 4" xfId="2262" xr:uid="{995EDE3B-2D30-4D1B-B7FA-6A1DE7E710A0}"/>
    <cellStyle name="Normal 71" xfId="443" xr:uid="{CB2200F6-DF74-43DC-9D57-755FA487CA81}"/>
    <cellStyle name="Normal 71 2" xfId="444" xr:uid="{AAE63AE7-7B52-469E-A55F-78218018ECE1}"/>
    <cellStyle name="Normal 71 2 2" xfId="1557" xr:uid="{ABCDBBC1-5EFB-4516-8A54-5C9067AD9212}"/>
    <cellStyle name="Normal 71 2 3" xfId="2265" xr:uid="{A3C16B9E-E768-4336-A6C5-719706CEE91E}"/>
    <cellStyle name="Normal 71 3" xfId="1556" xr:uid="{6B7BE821-54A7-4043-9C06-62B692064C18}"/>
    <cellStyle name="Normal 71 4" xfId="2264" xr:uid="{33519691-4003-426E-A09D-8BEA84BC79F8}"/>
    <cellStyle name="Normal 72" xfId="445" xr:uid="{151C1447-8495-4E33-8764-8015ACF5A7EB}"/>
    <cellStyle name="Normal 72 2" xfId="446" xr:uid="{05A1D16C-68BA-4988-886C-06B482E9EC23}"/>
    <cellStyle name="Normal 72 2 2" xfId="1559" xr:uid="{9EA5DFBD-8791-43E7-8B23-4BFE7BB4CBF7}"/>
    <cellStyle name="Normal 72 2 3" xfId="2267" xr:uid="{DCD0330E-2A25-433C-93E5-57495B03CE36}"/>
    <cellStyle name="Normal 72 3" xfId="1558" xr:uid="{5CCE51BF-E54F-436D-AF03-16A1AB3BE6F3}"/>
    <cellStyle name="Normal 72 4" xfId="2266" xr:uid="{ED6840CC-B4C2-49A4-8376-EE195EB6872D}"/>
    <cellStyle name="Normal 73" xfId="447" xr:uid="{97B6077E-51AE-4A9D-9622-32A94CF2034E}"/>
    <cellStyle name="Normal 73 2" xfId="448" xr:uid="{BDA47052-EC04-4B4C-BF91-19A138258C6E}"/>
    <cellStyle name="Normal 73 2 2" xfId="1561" xr:uid="{38328891-DBCF-43CF-9731-2C5DD0BD14C4}"/>
    <cellStyle name="Normal 73 2 3" xfId="2269" xr:uid="{7600465E-9480-4559-A5F2-5EF3A8579864}"/>
    <cellStyle name="Normal 73 3" xfId="1560" xr:uid="{8D6D2BEF-27BE-4094-BF20-A228DA71A56F}"/>
    <cellStyle name="Normal 73 4" xfId="2268" xr:uid="{2DEB8B94-1182-43F0-9327-3E9816FA4288}"/>
    <cellStyle name="Normal 74" xfId="449" xr:uid="{CB1D9B33-F4A1-421C-AEC4-C833BB51C502}"/>
    <cellStyle name="Normal 74 2" xfId="450" xr:uid="{57DD2FC5-882F-454F-8B7F-CD6BC9C67491}"/>
    <cellStyle name="Normal 74 2 2" xfId="1563" xr:uid="{75037A27-3950-43BC-B3FC-9FEB5059EA8C}"/>
    <cellStyle name="Normal 74 2 3" xfId="2271" xr:uid="{EAD4AAA5-9E1E-4267-9249-06982500C334}"/>
    <cellStyle name="Normal 74 3" xfId="1562" xr:uid="{CFAFA46A-882E-4BD9-916C-2A0B3F6D51CC}"/>
    <cellStyle name="Normal 74 4" xfId="2270" xr:uid="{51391EDE-A2AA-4691-BC07-5AC9982915B5}"/>
    <cellStyle name="Normal 75" xfId="451" xr:uid="{5018FC52-6523-4C0D-A03C-C84F1A7C35DB}"/>
    <cellStyle name="Normal 75 2" xfId="452" xr:uid="{AABCF7C6-3DD8-4FF3-A26A-74AC24AB6A1D}"/>
    <cellStyle name="Normal 75 2 2" xfId="1565" xr:uid="{0ACE398A-B5BB-4037-BFBA-D6361CF244A0}"/>
    <cellStyle name="Normal 75 2 3" xfId="2273" xr:uid="{4B78294C-D26E-447B-8E15-A3D9FD0CAA31}"/>
    <cellStyle name="Normal 75 3" xfId="1564" xr:uid="{1F3DF9AA-69DF-4F9B-965F-56641595116B}"/>
    <cellStyle name="Normal 75 4" xfId="2272" xr:uid="{8F1E1CAC-5486-4BF7-B63A-7386B2580B22}"/>
    <cellStyle name="Normal 76" xfId="453" xr:uid="{F48F2713-97C2-40E1-906C-10C608F7112C}"/>
    <cellStyle name="Normal 76 2" xfId="454" xr:uid="{694E6863-C1D8-44E4-AC27-F33A6435BBB4}"/>
    <cellStyle name="Normal 77" xfId="455" xr:uid="{B383D30C-629B-40A1-82BE-4BE137D5B01B}"/>
    <cellStyle name="Normal 77 2" xfId="456" xr:uid="{0D490E6C-FCEA-4CC2-BBD3-CAC027F5E489}"/>
    <cellStyle name="Normal 77 2 2" xfId="1567" xr:uid="{632C21D1-AF68-4D7A-9B0E-CE5F156FA937}"/>
    <cellStyle name="Normal 77 2 3" xfId="2275" xr:uid="{D2D8F462-903E-4F40-99CB-DEC9513000B0}"/>
    <cellStyle name="Normal 77 3" xfId="1566" xr:uid="{A47355EC-FB77-4E0F-BA6D-91EF2B201145}"/>
    <cellStyle name="Normal 77 4" xfId="2274" xr:uid="{413D4E50-22B5-4809-8EB3-2CDA24578F11}"/>
    <cellStyle name="Normal 78" xfId="457" xr:uid="{39D757B7-73C9-4BDE-8398-AD2A9DC67099}"/>
    <cellStyle name="Normal 78 2" xfId="458" xr:uid="{5E315FE9-9F4C-4037-A76B-47457E61A98F}"/>
    <cellStyle name="Normal 78 2 2" xfId="1569" xr:uid="{DA5F77E9-504E-4266-A596-F73B09FE7F3F}"/>
    <cellStyle name="Normal 78 2 3" xfId="2277" xr:uid="{467D07CE-318B-4CDE-917F-5813F921A623}"/>
    <cellStyle name="Normal 78 3" xfId="1568" xr:uid="{6E6FE529-197C-4045-B455-C2DEE27455F6}"/>
    <cellStyle name="Normal 78 4" xfId="2276" xr:uid="{DCEA7734-8433-4921-BDB3-AEB024246190}"/>
    <cellStyle name="Normal 79" xfId="459" xr:uid="{981BFB63-8F7E-454A-B3BB-732AC71CEADB}"/>
    <cellStyle name="Normal 79 2" xfId="460" xr:uid="{3043BF98-4345-4A6E-86A1-645303D59F19}"/>
    <cellStyle name="Normal 79 2 2" xfId="1571" xr:uid="{48887490-075F-4E11-AD39-052F707F6C22}"/>
    <cellStyle name="Normal 79 2 3" xfId="2279" xr:uid="{0FC0B763-E88A-4C78-AD85-40338929721E}"/>
    <cellStyle name="Normal 79 3" xfId="1570" xr:uid="{5F09D5E2-751B-4A06-969E-7D6A3AE7B72B}"/>
    <cellStyle name="Normal 79 4" xfId="2278" xr:uid="{A7D6EB1E-E981-4499-AE8E-1DEA7375788D}"/>
    <cellStyle name="Normal 8" xfId="461" xr:uid="{9F6BF06D-BDC7-4019-9FE0-0DF9A65E29BB}"/>
    <cellStyle name="Normal 8 2" xfId="462" xr:uid="{DB66F17C-CD85-433E-86CD-EF64BFE28761}"/>
    <cellStyle name="Normal 8 2 2" xfId="1573" xr:uid="{63F883E9-C054-4204-B398-EE0E6B8E54BB}"/>
    <cellStyle name="Normal 8 2 3" xfId="2281" xr:uid="{0E7966EF-5259-499A-A6E5-8176FAF51863}"/>
    <cellStyle name="Normal 8 3" xfId="1572" xr:uid="{CE93238C-DB0D-41DF-840B-3416F1E98323}"/>
    <cellStyle name="Normal 8 4" xfId="2280" xr:uid="{0B6BC749-FEEA-4F68-BFE3-00CAAE8DA68A}"/>
    <cellStyle name="Normal 80" xfId="463" xr:uid="{A3139B37-4FEE-4955-A929-BC00B7973899}"/>
    <cellStyle name="Normal 80 2" xfId="464" xr:uid="{758D146A-348B-4246-9AA5-4EB30777F436}"/>
    <cellStyle name="Normal 80 2 2" xfId="1575" xr:uid="{4EC81A06-2894-408F-B259-29B422A5B592}"/>
    <cellStyle name="Normal 80 2 3" xfId="2283" xr:uid="{A85206B5-0520-43AD-9883-737300EF7CAA}"/>
    <cellStyle name="Normal 80 3" xfId="1574" xr:uid="{1A3901F5-E321-4D37-82BA-C043195B1868}"/>
    <cellStyle name="Normal 80 4" xfId="2282" xr:uid="{5C9CB827-EFB0-45C2-AA6E-C7D9241C5086}"/>
    <cellStyle name="Normal 81" xfId="465" xr:uid="{5C57901B-9458-4E3B-A813-3FBE79DBFB96}"/>
    <cellStyle name="Normal 81 2" xfId="466" xr:uid="{C45C2042-AF77-4665-A8B8-1926AD2D365F}"/>
    <cellStyle name="Normal 81 2 2" xfId="1577" xr:uid="{AA1E9E4A-F9B2-47C4-8B73-1790BB634435}"/>
    <cellStyle name="Normal 81 2 3" xfId="2285" xr:uid="{B1FCAB78-A895-4474-8088-CA1E59DE5ED0}"/>
    <cellStyle name="Normal 81 3" xfId="1576" xr:uid="{5EF0C43A-9128-43C9-B7A0-734C045CEC6E}"/>
    <cellStyle name="Normal 81 4" xfId="2284" xr:uid="{AE03489E-A63A-4CBD-B255-6940E5AC1980}"/>
    <cellStyle name="Normal 82" xfId="467" xr:uid="{2719EDD8-AA41-485A-A934-AC943B461BF9}"/>
    <cellStyle name="Normal 82 2" xfId="468" xr:uid="{88675DB1-E636-440E-8282-7294EF5EEA0C}"/>
    <cellStyle name="Normal 82 2 2" xfId="1579" xr:uid="{E08D3CFD-AF28-4F5C-8105-C53B1744B49E}"/>
    <cellStyle name="Normal 82 2 3" xfId="2287" xr:uid="{9760BF6C-286A-4DD4-A0E2-7495A582EB58}"/>
    <cellStyle name="Normal 82 3" xfId="1578" xr:uid="{A7C552CF-9AA8-4332-B346-2CA364FA12B9}"/>
    <cellStyle name="Normal 82 4" xfId="2286" xr:uid="{3ADEBC4A-9969-44CA-BED0-6A11BCEF5E48}"/>
    <cellStyle name="Normal 83" xfId="469" xr:uid="{966662BF-C6DC-455F-B374-A1D88CB977AC}"/>
    <cellStyle name="Normal 83 2" xfId="470" xr:uid="{CB93605E-6725-43D8-8A75-A059D16EFEC0}"/>
    <cellStyle name="Normal 83 2 2" xfId="1581" xr:uid="{D47F1D12-B25B-45DE-A773-09E21E0FAE9D}"/>
    <cellStyle name="Normal 83 2 3" xfId="2289" xr:uid="{5241705D-26B9-4C1F-86F9-8F9003AD8972}"/>
    <cellStyle name="Normal 83 3" xfId="1580" xr:uid="{8F26EE2B-41B2-42D0-8331-22E3622AF48C}"/>
    <cellStyle name="Normal 83 4" xfId="2288" xr:uid="{8443271B-FCBB-436A-BE65-B796791034F2}"/>
    <cellStyle name="Normal 84" xfId="471" xr:uid="{4A65C1A1-7664-48D3-B8F8-0D07A55A2250}"/>
    <cellStyle name="Normal 84 2" xfId="472" xr:uid="{59C68BA2-CD89-49CD-AB5B-C574608BEBD1}"/>
    <cellStyle name="Normal 84 2 2" xfId="1583" xr:uid="{0F700C36-2849-4B04-BF8C-9E3FC8F75D2E}"/>
    <cellStyle name="Normal 84 2 3" xfId="2291" xr:uid="{3194395D-F990-47D0-9A66-4D51E1D05149}"/>
    <cellStyle name="Normal 84 3" xfId="1582" xr:uid="{1F340DC5-2BA6-4835-9E2E-52D9D9C2667C}"/>
    <cellStyle name="Normal 84 4" xfId="2290" xr:uid="{F2F98250-87AE-4B9D-8E5F-CAD180B83646}"/>
    <cellStyle name="Normal 85" xfId="473" xr:uid="{F1DA719D-1C2E-465B-A29C-D814FC1A1962}"/>
    <cellStyle name="Normal 85 2" xfId="474" xr:uid="{D22B0DDC-0BCB-4892-B5A3-B238588731A2}"/>
    <cellStyle name="Normal 86" xfId="475" xr:uid="{F4B47E06-9FC6-4AFA-9C46-9CA7926B4660}"/>
    <cellStyle name="Normal 86 2" xfId="476" xr:uid="{2A920AEF-18F7-43C3-9A4D-926E2AE5B06A}"/>
    <cellStyle name="Normal 86 2 2" xfId="1585" xr:uid="{04C86A79-74D5-4D23-AB3C-23F37A62E062}"/>
    <cellStyle name="Normal 86 2 3" xfId="2293" xr:uid="{0623BBFC-D53F-4948-B7EB-B4C7573D5320}"/>
    <cellStyle name="Normal 86 3" xfId="1584" xr:uid="{7B6A0FDB-01C9-4E87-9F6E-ED27E0D5E126}"/>
    <cellStyle name="Normal 86 4" xfId="2292" xr:uid="{1286F3DB-EC56-4028-85D9-E5931F27A857}"/>
    <cellStyle name="Normal 87" xfId="477" xr:uid="{E91544AC-E919-4053-8062-2B7F5BF9E2BC}"/>
    <cellStyle name="Normal 87 2" xfId="478" xr:uid="{0B32243C-CCA1-4B3D-83DE-66A3A3691F2C}"/>
    <cellStyle name="Normal 87 2 2" xfId="1587" xr:uid="{DF7D497E-85E8-4766-9D3E-D7AF8E9C730F}"/>
    <cellStyle name="Normal 87 2 3" xfId="2295" xr:uid="{29C5516D-B537-4CAE-8D63-5BC65C2D1A66}"/>
    <cellStyle name="Normal 87 3" xfId="1586" xr:uid="{B6E16B75-F1BF-4F1B-9C4A-E395ABA6631A}"/>
    <cellStyle name="Normal 87 4" xfId="2294" xr:uid="{98C9A10F-B5E1-4787-B050-7004426EBBAA}"/>
    <cellStyle name="Normal 88" xfId="479" xr:uid="{29CCAD02-1056-4FC8-A9AD-2217D049ECE7}"/>
    <cellStyle name="Normal 88 2" xfId="480" xr:uid="{7DF3D8DE-3FE5-4B5E-AA84-1FB78CBAEFA3}"/>
    <cellStyle name="Normal 89" xfId="481" xr:uid="{47F67C7D-6236-4346-91C2-8E63F3F15287}"/>
    <cellStyle name="Normal 89 2" xfId="482" xr:uid="{1E263789-DC2D-48E4-A794-61A59E9461A7}"/>
    <cellStyle name="Normal 89 2 2" xfId="1589" xr:uid="{DCB0A63F-8B41-418F-ACCC-A9357AC53881}"/>
    <cellStyle name="Normal 89 2 3" xfId="2297" xr:uid="{76935301-5B20-46F5-B3BE-5967FC64CD58}"/>
    <cellStyle name="Normal 89 3" xfId="1588" xr:uid="{55F761E2-0FD4-422D-A14C-0F40DF001DFA}"/>
    <cellStyle name="Normal 89 4" xfId="2296" xr:uid="{A31E32C0-8995-4D95-B198-C10E6EBDBE02}"/>
    <cellStyle name="Normal 9" xfId="483" xr:uid="{0F71845F-C851-4353-BADB-5EE9DEF3BF48}"/>
    <cellStyle name="Normal 9 2" xfId="484" xr:uid="{92E1B8EB-97E5-48B7-8B0C-44F02CCBD44A}"/>
    <cellStyle name="Normal 9 2 2" xfId="1591" xr:uid="{8569E37C-27CA-4F35-B630-326A209BB3E1}"/>
    <cellStyle name="Normal 9 2 3" xfId="2299" xr:uid="{BA84E416-8DF4-4B1B-B06B-5E1EF400E5CA}"/>
    <cellStyle name="Normal 9 3" xfId="1590" xr:uid="{F15B4040-CA7B-49D0-9F27-1B1314DCD39E}"/>
    <cellStyle name="Normal 9 4" xfId="2298" xr:uid="{D37620AC-04D5-4BE6-9469-9E93F35F2A2B}"/>
    <cellStyle name="Normal 90" xfId="485" xr:uid="{96569399-865B-405C-83A1-21605F73B189}"/>
    <cellStyle name="Normal 90 2" xfId="486" xr:uid="{49F903DA-8FFC-4A0D-B1AC-BE08B7D1D167}"/>
    <cellStyle name="Normal 91" xfId="487" xr:uid="{3B2ED238-271F-424D-ABA5-9F0046844BE7}"/>
    <cellStyle name="Normal 91 2" xfId="488" xr:uid="{64D1A13B-B047-4270-AA9C-F1628F8100BE}"/>
    <cellStyle name="Normal 91 2 2" xfId="1593" xr:uid="{6A3632C9-A007-4F45-BE45-FD95E0F91701}"/>
    <cellStyle name="Normal 91 2 3" xfId="2301" xr:uid="{7540C402-A521-47F0-8CA3-CA45750A3E26}"/>
    <cellStyle name="Normal 91 3" xfId="1592" xr:uid="{68D7DC32-29F8-4714-AD27-EB1F2417EE35}"/>
    <cellStyle name="Normal 91 4" xfId="2300" xr:uid="{69B7F312-24CA-46CE-A7CE-001695AB01E1}"/>
    <cellStyle name="Normal 92" xfId="489" xr:uid="{DE1EB160-D567-4C05-ABC9-416939E57736}"/>
    <cellStyle name="Normal 92 2" xfId="490" xr:uid="{C889871C-6C96-40EA-BFDF-0DB60E975926}"/>
    <cellStyle name="Normal 92 2 2" xfId="1595" xr:uid="{001EEE42-9C11-470D-977C-A65E38A709D9}"/>
    <cellStyle name="Normal 92 2 3" xfId="2303" xr:uid="{9E6F80FE-6D7D-4C37-8158-04F204CD17C1}"/>
    <cellStyle name="Normal 92 3" xfId="1594" xr:uid="{CD505676-3717-4F7B-82BE-0C385C2EA20F}"/>
    <cellStyle name="Normal 92 4" xfId="2302" xr:uid="{D5F460B1-DA4A-4E82-A8FD-8222C8809A6B}"/>
    <cellStyle name="Normal 93" xfId="491" xr:uid="{A7BB0E98-B530-4DAE-A2F4-83582F6C4773}"/>
    <cellStyle name="Normal 93 2" xfId="492" xr:uid="{94BD3167-0ED5-4E7B-80B0-78C82218465B}"/>
    <cellStyle name="Normal 93 2 2" xfId="1597" xr:uid="{A85F3534-07B4-4A6C-9A3F-2E06793504BF}"/>
    <cellStyle name="Normal 93 2 3" xfId="2305" xr:uid="{8620EC26-F233-4B84-849F-B6F25E7EFBCE}"/>
    <cellStyle name="Normal 93 3" xfId="1596" xr:uid="{EC1EC690-7BE5-44BA-8A54-296D251842B7}"/>
    <cellStyle name="Normal 93 4" xfId="2304" xr:uid="{D8C6B894-2EC8-48A8-9701-DF93279DC9C1}"/>
    <cellStyle name="Normal 94" xfId="493" xr:uid="{9E3BB7F5-64F7-4B2D-9E33-E3EF65D02CA9}"/>
    <cellStyle name="Normal 94 2" xfId="494" xr:uid="{8A35353D-EB6E-4FD2-9134-27E721393344}"/>
    <cellStyle name="Normal 94 2 2" xfId="1599" xr:uid="{DBA92FAA-6EFB-41D2-BF34-D189F620CA7C}"/>
    <cellStyle name="Normal 94 2 3" xfId="2307" xr:uid="{F3EC76D1-0447-4D0A-B731-7509C6301704}"/>
    <cellStyle name="Normal 94 3" xfId="1598" xr:uid="{E48E6308-91D6-4FFE-89B7-47F4B4D47C72}"/>
    <cellStyle name="Normal 94 4" xfId="2306" xr:uid="{E97C3459-A958-4B25-B0F5-75EF21EF7381}"/>
    <cellStyle name="Normal 95" xfId="495" xr:uid="{81900740-8E28-49FB-B85A-6222E6300796}"/>
    <cellStyle name="Normal 95 2" xfId="496" xr:uid="{6907DC67-E5E6-458C-BD6A-9088F01A52B2}"/>
    <cellStyle name="Normal 96" xfId="497" xr:uid="{006E01C1-891A-4DDB-81F9-145E441519C0}"/>
    <cellStyle name="Normal 96 2" xfId="498" xr:uid="{F9117210-350F-4F8E-BC24-140531ADCAD9}"/>
    <cellStyle name="Normal 96 2 2" xfId="1601" xr:uid="{DFAFB353-9649-4AC9-AC77-9ACC70E5160E}"/>
    <cellStyle name="Normal 96 2 3" xfId="2309" xr:uid="{A2F641C4-5105-40F7-8B86-D906B476B82C}"/>
    <cellStyle name="Normal 96 3" xfId="1600" xr:uid="{929040BE-1AE9-46A4-B81B-8022F4847049}"/>
    <cellStyle name="Normal 96 4" xfId="2308" xr:uid="{0413F950-7ED8-4572-88EE-1D285BEDE96F}"/>
    <cellStyle name="Normal 97" xfId="499" xr:uid="{61DC2C8B-FCBA-46AE-B98B-7F9FDF067032}"/>
    <cellStyle name="Normal 97 2" xfId="500" xr:uid="{95C16AFB-A804-43E4-B18F-0EA6E4E6624B}"/>
    <cellStyle name="Normal 97 2 2" xfId="1603" xr:uid="{CFBCDE4C-C62C-4CE3-932A-C2082A117F94}"/>
    <cellStyle name="Normal 97 2 3" xfId="2311" xr:uid="{99AD62E8-7020-4191-81D1-293A6D0B50F5}"/>
    <cellStyle name="Normal 97 3" xfId="1602" xr:uid="{3B85CAD4-71D7-4540-A1B3-EC74A362EA5A}"/>
    <cellStyle name="Normal 97 4" xfId="2310" xr:uid="{09B4094A-8D49-4FE1-9E18-D7432FB2E66E}"/>
    <cellStyle name="Normal 98" xfId="501" xr:uid="{639E70B9-3934-48F0-BE60-01D46C176E7E}"/>
    <cellStyle name="Normal 98 2" xfId="502" xr:uid="{BB0863F8-7169-4511-8BC5-76BEABB14B0D}"/>
    <cellStyle name="Normal 98 2 2" xfId="1605" xr:uid="{7D090662-A8E8-460B-96D7-C508AA60F163}"/>
    <cellStyle name="Normal 98 2 3" xfId="2313" xr:uid="{49F6B484-53AC-48A3-8320-1079E740E28F}"/>
    <cellStyle name="Normal 98 3" xfId="1604" xr:uid="{B940F727-1E6F-4A5B-B716-EB8D9BFE9BE7}"/>
    <cellStyle name="Normal 98 4" xfId="2312" xr:uid="{53772F27-83CF-43D2-AA03-432B8C4D3528}"/>
    <cellStyle name="Normal 99" xfId="503" xr:uid="{1B0E1A39-06BA-4757-AEBB-70721828CB09}"/>
    <cellStyle name="Normal 99 2" xfId="504" xr:uid="{F91AE15B-893F-4B8E-A293-E74D4EC970DB}"/>
    <cellStyle name="Normal 99 2 2" xfId="1607" xr:uid="{9256ED94-4311-4676-A19C-6EF86A86D5E9}"/>
    <cellStyle name="Normal 99 2 3" xfId="2315" xr:uid="{64DD1C94-B5C3-4F9F-8DEC-5B8B791E982C}"/>
    <cellStyle name="Normal 99 3" xfId="1606" xr:uid="{4054CE49-6918-403C-B5B7-482A1F6B5166}"/>
    <cellStyle name="Normal 99 4" xfId="2314" xr:uid="{52B804CF-26EE-4489-812C-1ED2BAAE6F5A}"/>
    <cellStyle name="Note" xfId="505" xr:uid="{44EC5556-040F-402E-AB43-1994835060CB}"/>
    <cellStyle name="Note 2" xfId="642" xr:uid="{0E35B80D-F7A8-422C-8943-FDDC0A1969DA}"/>
    <cellStyle name="Note 2 2" xfId="706" xr:uid="{6695CC51-5AF3-45B9-A5A2-09CA31EA2EE2}"/>
    <cellStyle name="Note 2 2 2" xfId="1686" xr:uid="{DCB13158-1C87-444D-BD69-EEBFCD43662F}"/>
    <cellStyle name="Note 2 2 3" xfId="2394" xr:uid="{AC139AA6-EBB2-4FCD-B67F-451110FE318A}"/>
    <cellStyle name="Note 2 3" xfId="1670" xr:uid="{B4D87BD6-8C0A-478F-B4B4-DE3751F74C92}"/>
    <cellStyle name="Note 2 4" xfId="2378" xr:uid="{F7925DD7-E67F-4139-AD7F-51E3BBE02517}"/>
    <cellStyle name="Note 3" xfId="651" xr:uid="{54898D02-07B5-4050-A2B6-22358D159094}"/>
    <cellStyle name="Note 3 2" xfId="1673" xr:uid="{AD6CFB99-1C2F-482D-922B-C9F485B134B1}"/>
    <cellStyle name="Note 3 3" xfId="2381" xr:uid="{9F840D5A-EB4F-4264-8636-E54001D99656}"/>
    <cellStyle name="Note 4" xfId="660" xr:uid="{9C86D2E1-BDB7-4A8E-877D-584122D30E1C}"/>
    <cellStyle name="Note 4 2" xfId="1678" xr:uid="{D46DCF3E-5819-4E59-9682-89BE9A2AA1C7}"/>
    <cellStyle name="Note 4 3" xfId="2386" xr:uid="{BE2F329D-3ADE-47D8-9C93-BAD560BEECF7}"/>
    <cellStyle name="Output" xfId="506" xr:uid="{8B0DF20B-5404-45A7-AC2F-C6DF564EC944}"/>
    <cellStyle name="Output 2" xfId="643" xr:uid="{085B0CEE-8B54-47A8-935C-C29DE696EDFC}"/>
    <cellStyle name="Output 2 2" xfId="707" xr:uid="{C1706884-3B04-4387-8567-A6BEEA72B121}"/>
    <cellStyle name="Percent" xfId="3012" builtinId="5"/>
    <cellStyle name="Percent 10" xfId="508" xr:uid="{BE024196-C19F-4585-8B2A-9C51C8F1D754}"/>
    <cellStyle name="Percent 10 2" xfId="509" xr:uid="{5D8BF96A-BFFA-4E79-AB2D-CFE7C78E0756}"/>
    <cellStyle name="Percent 10 2 2" xfId="1610" xr:uid="{83A42F52-6F3A-4EE9-8001-2E3E34558623}"/>
    <cellStyle name="Percent 10 2 3" xfId="2318" xr:uid="{F7D359DC-75CF-4334-AF68-36262AFF6556}"/>
    <cellStyle name="Percent 10 3" xfId="1609" xr:uid="{24ABE650-8012-4617-95BF-CBAD647B13DC}"/>
    <cellStyle name="Percent 10 4" xfId="2317" xr:uid="{A8171A0A-8BED-4FFC-8CF0-2E3424BC660F}"/>
    <cellStyle name="Percent 11" xfId="510" xr:uid="{DE3AD6FF-4C75-43D9-84BB-3D45C9CBCE0D}"/>
    <cellStyle name="Percent 11 2" xfId="511" xr:uid="{25F37A76-D928-4EBE-BCE4-D57B33ED13CA}"/>
    <cellStyle name="Percent 11 2 2" xfId="1612" xr:uid="{46F4B119-8588-4120-B054-D295B91B7E7E}"/>
    <cellStyle name="Percent 11 2 3" xfId="2320" xr:uid="{4BA550DA-1CA7-46EF-8D8A-A929AA0CA6B8}"/>
    <cellStyle name="Percent 11 3" xfId="1611" xr:uid="{E874D167-376F-4477-81F2-5C67B962B895}"/>
    <cellStyle name="Percent 11 4" xfId="2319" xr:uid="{07D3954E-9C7B-41CE-B596-CCFF08ABAE2F}"/>
    <cellStyle name="Percent 12" xfId="512" xr:uid="{A5DACD8E-A18F-420F-AB37-2FE3F07BCCA6}"/>
    <cellStyle name="Percent 12 2" xfId="513" xr:uid="{D7F29490-F691-4F08-9A8F-9286E8FBD32C}"/>
    <cellStyle name="Percent 12 2 2" xfId="1614" xr:uid="{F7261869-20B8-4CD8-BF79-C484FC30C606}"/>
    <cellStyle name="Percent 12 2 3" xfId="2322" xr:uid="{34FAA2EF-1E8C-4B86-BFB7-437DB01610FE}"/>
    <cellStyle name="Percent 12 3" xfId="1613" xr:uid="{259E3913-F895-44FA-8258-52BCFA813C40}"/>
    <cellStyle name="Percent 12 4" xfId="2321" xr:uid="{969585CA-120B-49B3-873E-DFC91166ADB2}"/>
    <cellStyle name="Percent 13" xfId="514" xr:uid="{FAC082F4-E712-4C5D-B965-939D5F0E952C}"/>
    <cellStyle name="Percent 13 2" xfId="515" xr:uid="{B48CC9BF-B8F1-4C36-9A57-A0374EF668E9}"/>
    <cellStyle name="Percent 13 2 2" xfId="1616" xr:uid="{A4417DFE-6200-47A3-AE4C-13EDC04CDF40}"/>
    <cellStyle name="Percent 13 2 3" xfId="2324" xr:uid="{8CE092C1-5FF5-4988-ACA7-4DF1A9AFA30D}"/>
    <cellStyle name="Percent 13 3" xfId="1615" xr:uid="{F03D5663-8602-4EDC-8E68-21A396E10285}"/>
    <cellStyle name="Percent 13 4" xfId="2323" xr:uid="{E8FCF5F7-5A6B-422C-A230-A97A68982EC6}"/>
    <cellStyle name="Percent 14" xfId="516" xr:uid="{6C4C7926-FBBD-40A9-B689-70CC9F3EA151}"/>
    <cellStyle name="Percent 14 2" xfId="517" xr:uid="{1AB7A060-D334-4E68-ABD4-32830222F0E1}"/>
    <cellStyle name="Percent 14 2 2" xfId="1618" xr:uid="{929715D9-69A9-44DA-A1CF-E421F9F8C5A4}"/>
    <cellStyle name="Percent 14 2 3" xfId="2326" xr:uid="{2EFB4A9E-AC56-4B40-B792-61883E174B7B}"/>
    <cellStyle name="Percent 14 3" xfId="1617" xr:uid="{F4364ABD-D07F-404F-9042-7E801E438D41}"/>
    <cellStyle name="Percent 14 4" xfId="2325" xr:uid="{A4EE769E-5012-4EF8-801C-F8B75A5F8843}"/>
    <cellStyle name="Percent 15" xfId="518" xr:uid="{84C9EBCF-8A0C-4188-B1E1-1B3569340A72}"/>
    <cellStyle name="Percent 15 2" xfId="519" xr:uid="{6AB7FAAB-8B21-4492-A080-E01BA5D4A094}"/>
    <cellStyle name="Percent 15 2 2" xfId="1620" xr:uid="{217750F4-3804-4B9D-B2D8-CE221992F0C9}"/>
    <cellStyle name="Percent 15 2 3" xfId="2328" xr:uid="{14A8E250-911B-4B87-96FF-5016E052C9E6}"/>
    <cellStyle name="Percent 15 3" xfId="1619" xr:uid="{29F9F721-5660-456B-B412-60F21B4EA48B}"/>
    <cellStyle name="Percent 15 4" xfId="2327" xr:uid="{25350EA3-47BE-4460-B34E-9150B63FFEDC}"/>
    <cellStyle name="Percent 16" xfId="520" xr:uid="{6F625052-4A60-40D9-B4A7-C66BC3AC2B35}"/>
    <cellStyle name="Percent 16 2" xfId="521" xr:uid="{B027F823-E8A8-41A4-B1A6-095583C4F67F}"/>
    <cellStyle name="Percent 16 2 2" xfId="1622" xr:uid="{EFF84EBD-4DB6-4097-8AEC-11FED0413C68}"/>
    <cellStyle name="Percent 16 2 3" xfId="2330" xr:uid="{959125E3-3C58-4DB0-849A-3824A67039CC}"/>
    <cellStyle name="Percent 16 3" xfId="1621" xr:uid="{069433C6-AE24-434E-A6CB-80E86592AD84}"/>
    <cellStyle name="Percent 16 4" xfId="2329" xr:uid="{3FAD7237-0121-4A68-85EF-CBFCEB46004D}"/>
    <cellStyle name="Percent 17" xfId="522" xr:uid="{A6C488E2-5FDA-4537-B121-9C690E913160}"/>
    <cellStyle name="Percent 17 2" xfId="523" xr:uid="{9B5931AD-AAFA-4C36-9069-C74F647498AB}"/>
    <cellStyle name="Percent 17 2 2" xfId="1624" xr:uid="{30CEC39B-D2F9-4A46-A83E-1E1A03D58874}"/>
    <cellStyle name="Percent 17 2 3" xfId="2332" xr:uid="{6113BB30-9560-43C6-804E-CD5B9DF51B6B}"/>
    <cellStyle name="Percent 17 3" xfId="1623" xr:uid="{B8B30F99-8D3F-4FA8-BB0F-63E6F1D54E30}"/>
    <cellStyle name="Percent 17 4" xfId="2331" xr:uid="{B894C41E-E1EE-44AC-A98A-9ED588341276}"/>
    <cellStyle name="Percent 18" xfId="524" xr:uid="{B9F3C42E-D8BB-43CB-A2D1-5A7879E5144F}"/>
    <cellStyle name="Percent 18 2" xfId="525" xr:uid="{18145814-2D67-4181-BB12-01FDFA7A6C95}"/>
    <cellStyle name="Percent 18 2 2" xfId="1626" xr:uid="{03649193-1D7B-4236-8415-A1C6CD45CE81}"/>
    <cellStyle name="Percent 18 2 3" xfId="2334" xr:uid="{8B825489-5B26-4CB1-A0DA-FD5456FF33CB}"/>
    <cellStyle name="Percent 18 3" xfId="1625" xr:uid="{FB0BB68C-89FD-4413-85F8-22C720A5990E}"/>
    <cellStyle name="Percent 18 4" xfId="2333" xr:uid="{D9111D91-F144-4CE5-A3B2-E529C00291B6}"/>
    <cellStyle name="Percent 19" xfId="526" xr:uid="{701073AA-A35A-4A71-8C08-A1DF7631285B}"/>
    <cellStyle name="Percent 19 2" xfId="527" xr:uid="{427D04EB-71DB-45D2-8063-E5314422FC1F}"/>
    <cellStyle name="Percent 19 2 2" xfId="1628" xr:uid="{49C9764A-B281-40F5-B4F1-F242496E40CB}"/>
    <cellStyle name="Percent 19 2 3" xfId="2336" xr:uid="{5601FA46-41BA-4F1F-9381-085EACC33A6A}"/>
    <cellStyle name="Percent 19 3" xfId="1627" xr:uid="{00C261E8-ED24-47F2-B7CC-AD8C886ED07D}"/>
    <cellStyle name="Percent 19 4" xfId="2335" xr:uid="{AB9B1D25-4AA0-45FB-90A7-45AF5C2B2EA9}"/>
    <cellStyle name="Percent 2" xfId="528" xr:uid="{D842C83A-6B86-4D09-BEF9-F59C3B0D3834}"/>
    <cellStyle name="Percent 2 2" xfId="529" xr:uid="{6089F7A7-AC20-40C8-B254-AFB52CBE8EF8}"/>
    <cellStyle name="Percent 2 2 2" xfId="1630" xr:uid="{852AA443-FD51-4489-A156-838125F8749C}"/>
    <cellStyle name="Percent 2 2 3" xfId="2338" xr:uid="{56DA351C-17AE-4DC9-8E46-7B446F3BBAB0}"/>
    <cellStyle name="Percent 2 3" xfId="530" xr:uid="{BEF1966B-0DC8-47B9-AACB-6FC59A073836}"/>
    <cellStyle name="Percent 2 3 2" xfId="1631" xr:uid="{2AA24275-7FA2-480B-AB4B-8187A4F36F74}"/>
    <cellStyle name="Percent 2 3 3" xfId="2339" xr:uid="{1F312351-FCFF-4B0F-BDF6-915E876D35B9}"/>
    <cellStyle name="Percent 2 4" xfId="531" xr:uid="{5297866F-8F60-4664-8C74-3EDA3A77B9D8}"/>
    <cellStyle name="Percent 2 4 2" xfId="1632" xr:uid="{CED89FE0-0DEA-4C0A-BEBC-E631283EFB4B}"/>
    <cellStyle name="Percent 2 4 3" xfId="2340" xr:uid="{A123DA60-927D-4212-8671-36EE0D38AFF4}"/>
    <cellStyle name="Percent 2 5" xfId="1629" xr:uid="{1C71F744-A5C7-4071-81A3-79F364CECE49}"/>
    <cellStyle name="Percent 2 6" xfId="2337" xr:uid="{B2F5018D-ED7C-4FEF-9F14-D2FC5A52B46D}"/>
    <cellStyle name="Percent 20" xfId="532" xr:uid="{702FC426-15D8-458F-ACE1-7C09664F6469}"/>
    <cellStyle name="Percent 20 2" xfId="533" xr:uid="{64D66E11-90C9-4B8D-A8D6-A692B5DE8E30}"/>
    <cellStyle name="Percent 20 2 2" xfId="1634" xr:uid="{9129920C-0470-4714-BEBA-C2D7FCC20F50}"/>
    <cellStyle name="Percent 20 2 3" xfId="2342" xr:uid="{A7B8C4E8-A06A-4D4B-8172-441E2350AFEA}"/>
    <cellStyle name="Percent 20 3" xfId="1633" xr:uid="{9E770386-4DBF-46DF-9D6C-856460E51E03}"/>
    <cellStyle name="Percent 20 4" xfId="2341" xr:uid="{59AF8F19-0DB7-4605-9AD7-02CD18F49429}"/>
    <cellStyle name="Percent 21" xfId="534" xr:uid="{05D616EC-49FC-41A1-8CD4-A47C40E4B0D8}"/>
    <cellStyle name="Percent 21 2" xfId="535" xr:uid="{7EA21961-2A54-4C73-AE39-3C3E95D2099C}"/>
    <cellStyle name="Percent 21 2 2" xfId="1636" xr:uid="{8F879441-D82E-4DAD-B3C2-A3B6910FFA35}"/>
    <cellStyle name="Percent 21 2 3" xfId="2344" xr:uid="{B09807ED-73E9-4FB9-ACFA-110363172E67}"/>
    <cellStyle name="Percent 21 3" xfId="1635" xr:uid="{BE11FB86-1189-48E2-8D0B-83E34E3E6F87}"/>
    <cellStyle name="Percent 21 4" xfId="2343" xr:uid="{BC5C79C1-FE9F-4DB4-89A0-31C6F768954A}"/>
    <cellStyle name="Percent 22" xfId="536" xr:uid="{5558F9A8-B7F1-421E-B293-499E735D2393}"/>
    <cellStyle name="Percent 22 2" xfId="537" xr:uid="{360CAB98-D980-4418-B09A-6BD04979E576}"/>
    <cellStyle name="Percent 22 2 2" xfId="1638" xr:uid="{027D335D-4064-4539-89F9-2B008B836A8B}"/>
    <cellStyle name="Percent 22 2 3" xfId="2346" xr:uid="{7DB66D9E-AADD-4059-B026-462AE5D26C2D}"/>
    <cellStyle name="Percent 22 3" xfId="1637" xr:uid="{15FC0F81-6212-4334-9773-689D0D44D16A}"/>
    <cellStyle name="Percent 22 4" xfId="2345" xr:uid="{87505F72-DDF8-4E5D-8424-980BC31632FD}"/>
    <cellStyle name="Percent 23" xfId="538" xr:uid="{F9347F45-C965-4C7D-8E63-0C6B08CE9ABB}"/>
    <cellStyle name="Percent 23 2" xfId="539" xr:uid="{D9EDC02A-159E-4FB8-BD0A-3DAA18AE66FF}"/>
    <cellStyle name="Percent 23 2 2" xfId="1640" xr:uid="{AAABE213-3FC8-4CD1-BD19-5F9258DA11EE}"/>
    <cellStyle name="Percent 23 2 3" xfId="2348" xr:uid="{708C4E19-5023-4136-B7C8-53F8A5CBFCD6}"/>
    <cellStyle name="Percent 23 3" xfId="1639" xr:uid="{BC160258-10CC-47F7-84A9-601E6A5C276D}"/>
    <cellStyle name="Percent 23 4" xfId="2347" xr:uid="{1562AC00-ACBA-4469-9767-D9B934A212DA}"/>
    <cellStyle name="Percent 24" xfId="540" xr:uid="{87DEAA94-5342-45C1-90E9-DF25D3F0C96D}"/>
    <cellStyle name="Percent 24 2" xfId="541" xr:uid="{FE09620A-FEE6-4593-BC21-9C59CA191523}"/>
    <cellStyle name="Percent 24 2 2" xfId="1642" xr:uid="{8F388A5F-8146-4A18-BBAE-B480D50D6CD2}"/>
    <cellStyle name="Percent 24 2 3" xfId="2350" xr:uid="{2DBFA8B9-2225-4AC1-BE31-7CA04E8D8918}"/>
    <cellStyle name="Percent 24 3" xfId="1641" xr:uid="{4E719BCE-87A2-4A99-AC51-87FB6085AA89}"/>
    <cellStyle name="Percent 24 4" xfId="2349" xr:uid="{A79D5434-DDFF-4F3E-84D2-A8792B1563CD}"/>
    <cellStyle name="Percent 25" xfId="542" xr:uid="{73342695-93D4-4D16-B3BC-C5845F0F0862}"/>
    <cellStyle name="Percent 25 2" xfId="1643" xr:uid="{B6B49319-4ED9-465F-862D-F1B5974D830D}"/>
    <cellStyle name="Percent 25 3" xfId="2351" xr:uid="{BB72650C-764C-451D-9A4A-C5DD77EBE30C}"/>
    <cellStyle name="Percent 26" xfId="543" xr:uid="{A8E9D798-D0C3-45F3-B33D-03F3B9AFE788}"/>
    <cellStyle name="Percent 26 2" xfId="1644" xr:uid="{3C635A5B-77B3-4B59-AF76-88EF88C15F69}"/>
    <cellStyle name="Percent 26 3" xfId="2352" xr:uid="{3D2EF0FC-C74D-4C48-A679-A6593AA62F51}"/>
    <cellStyle name="Percent 27" xfId="713" xr:uid="{4C55568C-5588-4AC3-8FC7-10C4C67A7DE4}"/>
    <cellStyle name="Percent 28" xfId="507" xr:uid="{104F5448-9C5A-4E83-BED7-EEC8C4F7F113}"/>
    <cellStyle name="Percent 28 2" xfId="1608" xr:uid="{D71F428D-EC90-488A-8135-C874E3FD9D71}"/>
    <cellStyle name="Percent 28 3" xfId="2316" xr:uid="{00EAA5F4-EA02-4560-9755-F232C9FCD7AE}"/>
    <cellStyle name="Percent 3" xfId="544" xr:uid="{FDF125F0-98A6-4825-85F5-A5BB4990F746}"/>
    <cellStyle name="Percent 3 2" xfId="1645" xr:uid="{35B05FFC-F2DF-4D75-A848-BC1FC9253B4F}"/>
    <cellStyle name="Percent 3 3" xfId="2353" xr:uid="{3BA45D85-1F05-4C52-B3C8-2CBFF50307E5}"/>
    <cellStyle name="Percent 4" xfId="545" xr:uid="{C9D9F8BD-CAD4-4458-ADD5-8BD8BAA5798F}"/>
    <cellStyle name="Percent 4 2" xfId="546" xr:uid="{B983FA18-63B9-416F-BECC-47B103AD25A2}"/>
    <cellStyle name="Percent 4 2 2" xfId="1647" xr:uid="{0C04251F-AFBB-442E-B939-4683082DC1E4}"/>
    <cellStyle name="Percent 4 2 3" xfId="2355" xr:uid="{111DCC8E-CEE6-4175-A722-13367C03CB61}"/>
    <cellStyle name="Percent 4 3" xfId="1646" xr:uid="{9D05E4C1-317E-4AD0-98F8-26A1066B276B}"/>
    <cellStyle name="Percent 4 4" xfId="2354" xr:uid="{B15D6518-1FD2-41A8-9DA7-8D57C7AD9DDC}"/>
    <cellStyle name="Percent 5" xfId="547" xr:uid="{9DE54C5E-A29A-4558-AD8A-9D5B6882AC00}"/>
    <cellStyle name="Percent 5 2" xfId="548" xr:uid="{21687816-F8A8-450B-A3C2-C5E44BC5BFD9}"/>
    <cellStyle name="Percent 5 2 2" xfId="1649" xr:uid="{C87E0156-2551-477F-B392-D60D7D404D52}"/>
    <cellStyle name="Percent 5 2 3" xfId="2357" xr:uid="{57D2E047-4FE1-46CD-8356-D501CA340572}"/>
    <cellStyle name="Percent 5 3" xfId="1648" xr:uid="{D69EBFBA-EF12-40E5-AB68-EF934DFBED64}"/>
    <cellStyle name="Percent 5 4" xfId="2356" xr:uid="{1799A036-A5E3-492C-806A-F12209B8FB75}"/>
    <cellStyle name="Percent 6" xfId="549" xr:uid="{435D10AE-CDC8-4F59-A9ED-371F3E30ED9D}"/>
    <cellStyle name="Percent 6 2" xfId="550" xr:uid="{28B51A67-0DF9-40C4-8181-7F7005A3F747}"/>
    <cellStyle name="Percent 6 2 2" xfId="1651" xr:uid="{5B6719A3-992C-45AB-B5C7-B99641D4140C}"/>
    <cellStyle name="Percent 6 2 3" xfId="2359" xr:uid="{7E5A4EA3-EEF2-4426-AA7D-02728F9C7CB3}"/>
    <cellStyle name="Percent 6 3" xfId="1650" xr:uid="{8FB82BD4-8500-4AA1-8CBA-32B826E97146}"/>
    <cellStyle name="Percent 6 4" xfId="2358" xr:uid="{368D197C-D129-46F6-81B3-31BB95F838EE}"/>
    <cellStyle name="Percent 7" xfId="551" xr:uid="{A7FA021E-0046-4D1D-A4B5-1981EE2403D7}"/>
    <cellStyle name="Percent 7 2" xfId="552" xr:uid="{A59136A7-29F5-4AE8-92D8-83362D30BF1F}"/>
    <cellStyle name="Percent 7 2 2" xfId="1653" xr:uid="{D0EDA7CF-1BED-4872-80BF-FE2DC129C64C}"/>
    <cellStyle name="Percent 7 2 3" xfId="2361" xr:uid="{AD854AEE-9F29-4B3B-9FFD-8EDF0820E4AF}"/>
    <cellStyle name="Percent 7 3" xfId="1652" xr:uid="{A28BFD52-7F69-4F42-A60A-9CECB4533A74}"/>
    <cellStyle name="Percent 7 4" xfId="2360" xr:uid="{8AB940C8-5D09-4A04-9E7F-ED87B17FFF73}"/>
    <cellStyle name="Percent 8" xfId="553" xr:uid="{BD5201EF-2E3D-46BD-ACA3-DD6D8AE672E7}"/>
    <cellStyle name="Percent 8 2" xfId="554" xr:uid="{D6ED7F61-3D62-4181-8A51-D8459E7A076C}"/>
    <cellStyle name="Percent 8 2 2" xfId="1655" xr:uid="{E5D6B0C1-467B-4D89-AB8A-6E1526AC2ACD}"/>
    <cellStyle name="Percent 8 2 3" xfId="2363" xr:uid="{36BD986F-05D4-437F-8939-9A1DD68D53E6}"/>
    <cellStyle name="Percent 8 3" xfId="1654" xr:uid="{B59D00E6-5E17-4ADA-AAC3-12E762C00DE1}"/>
    <cellStyle name="Percent 8 4" xfId="2362" xr:uid="{06C309F7-68E7-464E-A8B6-06C144586B0E}"/>
    <cellStyle name="Percent 9" xfId="555" xr:uid="{DD4DBCEA-1DFE-4708-A068-89EFDE812F2A}"/>
    <cellStyle name="Percent 9 2" xfId="556" xr:uid="{FAD3D661-E716-4155-9FF0-1900011AA625}"/>
    <cellStyle name="Percent 9 2 2" xfId="1657" xr:uid="{C287AD52-E573-4032-B524-00E66B959F68}"/>
    <cellStyle name="Percent 9 2 3" xfId="2365" xr:uid="{7DC138F2-C6A4-41E0-89F6-C84EEEACDB0B}"/>
    <cellStyle name="Percent 9 3" xfId="1656" xr:uid="{B814BD23-E59D-4465-A61C-E3AD7C6AD24B}"/>
    <cellStyle name="Percent 9 4" xfId="2364" xr:uid="{D5FA6144-3D53-4AC1-A82C-42EDA084EBBB}"/>
    <cellStyle name="regularStyle" xfId="3005" xr:uid="{63B7817A-77CA-4783-9DC5-0DB1B2B87096}"/>
    <cellStyle name="Style 27" xfId="557" xr:uid="{3BBEB979-6C57-4A9B-ACC1-DB39BD6D4DBB}"/>
    <cellStyle name="Style 27 2" xfId="558" xr:uid="{6CCF77F3-D7BC-4102-B09D-FD848F39AF9B}"/>
    <cellStyle name="Style 27 2 2" xfId="1659" xr:uid="{5B347EC7-6F96-47BA-BA52-CB5CC8191AFA}"/>
    <cellStyle name="Style 27 2 3" xfId="2367" xr:uid="{650E0466-5A77-4729-8350-09F3F628BA4A}"/>
    <cellStyle name="Style 27 3" xfId="1658" xr:uid="{5374BBAD-AC42-4190-9215-1298DCCAB736}"/>
    <cellStyle name="Style 27 4" xfId="2366" xr:uid="{6C73D0B2-89E1-4E59-B8B8-040A86B50EF8}"/>
    <cellStyle name="Sub_head" xfId="559" xr:uid="{2230890F-F0C9-44D3-82C5-99F595D3C63F}"/>
    <cellStyle name="Text" xfId="560" xr:uid="{E337DF66-2E41-48ED-B038-4E7330C983DD}"/>
    <cellStyle name="Title" xfId="561" xr:uid="{CC2A64AA-B53D-45FF-800A-C89AB645C8F8}"/>
    <cellStyle name="Title 2" xfId="644" xr:uid="{8505697F-DF70-4E1F-B4C8-A91597BBE3CA}"/>
    <cellStyle name="Title 2 2" xfId="708" xr:uid="{A2F7C647-8D1E-453E-9A5F-16BE147348DE}"/>
    <cellStyle name="topRowStyle" xfId="3006" xr:uid="{E55D4589-578F-43DD-89D7-391BC94826F3}"/>
    <cellStyle name="Total" xfId="562" xr:uid="{7AEE78FC-CDE5-4C35-9894-9B6593D10AB5}"/>
    <cellStyle name="Total 2" xfId="563" xr:uid="{25B04355-A4B9-463C-B0D8-7C5267D82EAB}"/>
    <cellStyle name="Total 3" xfId="645" xr:uid="{CC173DE7-187E-45B0-B715-D44110812077}"/>
    <cellStyle name="Total_e" xfId="564" xr:uid="{39C4F03D-A4E1-4ED2-9A96-618C62A8FD4F}"/>
    <cellStyle name="Warning Text" xfId="565" xr:uid="{8435C479-CC8F-4C7F-AE37-BD96782770FA}"/>
    <cellStyle name="Warning Text 2" xfId="646" xr:uid="{D10DBB59-3A84-4E20-BC71-F86C92D9F98C}"/>
    <cellStyle name="Warning Text 2 2" xfId="709" xr:uid="{A384871C-BAFB-4DE7-A9EE-0E6583254D3B}"/>
    <cellStyle name="הדגשה1 2" xfId="566" xr:uid="{50094C1A-3F70-41FF-9F49-4E265CB33947}"/>
    <cellStyle name="הדגשה1 2 2" xfId="769" xr:uid="{F290694F-D507-49AA-83FB-D7AB40F78EDE}"/>
    <cellStyle name="הדגשה1 3" xfId="768" xr:uid="{8A9A44E1-0AA2-4A92-BAD5-825EB23FBC36}"/>
    <cellStyle name="הדגשה2 2" xfId="567" xr:uid="{3B5C5B74-B850-41EE-918E-32B98E2E0CC3}"/>
    <cellStyle name="הדגשה2 2 2" xfId="771" xr:uid="{F85922C9-2BEE-4518-9A95-EEA5E2D8086D}"/>
    <cellStyle name="הדגשה2 3" xfId="770" xr:uid="{74A65A51-201F-45FD-9223-EDB4CAC3649B}"/>
    <cellStyle name="הדגשה3 2" xfId="568" xr:uid="{4D1C4D98-E8CE-4084-B3C1-900D6513178D}"/>
    <cellStyle name="הדגשה3 2 2" xfId="773" xr:uid="{FAABDBE1-5EDD-42D9-A5C9-55BCA8783632}"/>
    <cellStyle name="הדגשה3 3" xfId="772" xr:uid="{A64135DE-889E-4DE0-B0B4-372B749B21C7}"/>
    <cellStyle name="הדגשה4 2" xfId="569" xr:uid="{E59A5F11-E366-45C6-813A-AECD7E5C16F1}"/>
    <cellStyle name="הדגשה4 2 2" xfId="775" xr:uid="{4BFB33AF-E9F9-40C6-B18C-EE36D3A218BB}"/>
    <cellStyle name="הדגשה4 3" xfId="774" xr:uid="{792F87A2-48CB-4344-848C-96FA21F589E5}"/>
    <cellStyle name="הדגשה5 2" xfId="570" xr:uid="{CE31CA9A-63EF-4685-8094-364BE038C5A3}"/>
    <cellStyle name="הדגשה5 2 2" xfId="777" xr:uid="{09E14F5E-802C-41A0-AB8E-E2C8FF68E30F}"/>
    <cellStyle name="הדגשה5 3" xfId="776" xr:uid="{9287D1F7-53F8-4740-BCCA-88BE2AABE3FC}"/>
    <cellStyle name="הדגשה6 2" xfId="571" xr:uid="{1FA8B3C9-B85C-4D74-9156-9556AE1A89D6}"/>
    <cellStyle name="הדגשה6 2 2" xfId="779" xr:uid="{9D5D3932-4750-4449-9A65-081365D37585}"/>
    <cellStyle name="הדגשה6 3" xfId="778" xr:uid="{1ED72591-C9AC-4852-B02E-B6DA1CCF0717}"/>
    <cellStyle name="היפר-קישור 2" xfId="572" xr:uid="{591849FA-E76F-4349-95EB-2B78C87A45EF}"/>
    <cellStyle name="היפר-קישור 3" xfId="573" xr:uid="{F79FBD55-0A95-4B2F-A794-70B57461D2BF}"/>
    <cellStyle name="היפר-קישור 4" xfId="721" xr:uid="{7631C038-98CB-4FE7-8150-8B100332DD3E}"/>
    <cellStyle name="הערה 2" xfId="574" xr:uid="{6745087A-4E0F-4FE8-BA22-983D05099D25}"/>
    <cellStyle name="הערה 2 2" xfId="599" xr:uid="{631954FB-936A-4603-8A4B-EDCEB9EFD0EC}"/>
    <cellStyle name="הערה 2 3" xfId="649" xr:uid="{D14F6A70-34A0-4A08-AB31-A21671BD533B}"/>
    <cellStyle name="הערה 2 4" xfId="655" xr:uid="{A5CA5AF6-C4F0-457D-B721-9FDC0AC7D982}"/>
    <cellStyle name="הערה 2 5" xfId="711" xr:uid="{4AFC81AA-098D-4EE8-817A-001893A14B17}"/>
    <cellStyle name="הערה 2 6" xfId="781" xr:uid="{A0D656C4-7DE6-49A8-8993-AF870E1AABEF}"/>
    <cellStyle name="הערה 2 6 2" xfId="1704" xr:uid="{EE19823B-3A2A-4B99-A53E-BF0C8D855419}"/>
    <cellStyle name="הערה 2 6 3" xfId="2412" xr:uid="{9DFAC45A-C87C-4DFF-9568-E9A0ED1C8C25}"/>
    <cellStyle name="הערה 3" xfId="780" xr:uid="{398A5D79-8523-44DF-98E1-E9D20CC738FC}"/>
    <cellStyle name="הערה 3 2" xfId="1703" xr:uid="{97B53521-BF6A-4085-9C59-AC972ABC615C}"/>
    <cellStyle name="הערה 3 3" xfId="2411" xr:uid="{91448B65-70E3-45F8-A8CE-8DA69E9C6C9D}"/>
    <cellStyle name="חישוב 2" xfId="575" xr:uid="{F5DA4BA6-89A9-4904-A6DB-D48B571183DB}"/>
    <cellStyle name="חישוב 2 2" xfId="783" xr:uid="{A214E86E-D76B-4566-BDFB-3EAC0EC07A23}"/>
    <cellStyle name="חישוב 3" xfId="782" xr:uid="{C7129361-D4D1-4206-8CAE-41F96CCAB5C7}"/>
    <cellStyle name="טוב 2" xfId="576" xr:uid="{6C0F3552-89C3-44F4-9419-E805555C47C3}"/>
    <cellStyle name="טוב 2 2" xfId="785" xr:uid="{071A7A68-4FC3-469C-B017-ED72636F4F71}"/>
    <cellStyle name="טוב 3" xfId="784" xr:uid="{142A72F3-C385-430F-BC51-645E16910A4A}"/>
    <cellStyle name="טקסט אזהרה 2" xfId="577" xr:uid="{BE91D76D-A9ED-4851-B18B-AF4B8F45AD53}"/>
    <cellStyle name="טקסט אזהרה 2 2" xfId="787" xr:uid="{5ECF14EB-F9E6-4D32-BC03-E458B057FB66}"/>
    <cellStyle name="טקסט אזהרה 3" xfId="786" xr:uid="{874C4EB4-8292-4B7F-B367-8711BAEA1C17}"/>
    <cellStyle name="טקסט הסברי 2" xfId="578" xr:uid="{2BC2A70B-E4F5-403B-9197-6539741FE0ED}"/>
    <cellStyle name="טקסט הסברי 2 2" xfId="789" xr:uid="{4594022D-7142-4F30-A115-8306A3A629D5}"/>
    <cellStyle name="טקסט הסברי 3" xfId="788" xr:uid="{94A697EC-34AC-4F1F-A792-6F6BFE0B59C0}"/>
    <cellStyle name="כותרת 1 2" xfId="579" xr:uid="{88CABE7B-519A-4747-A82D-9DA11157971A}"/>
    <cellStyle name="כותרת 1 2 2" xfId="792" xr:uid="{997A7288-1F02-49BF-9726-01B3789AD4FC}"/>
    <cellStyle name="כותרת 1 3" xfId="791" xr:uid="{9FB97A32-EF2E-4300-8AC4-F983EBF4F60B}"/>
    <cellStyle name="כותרת 2 2" xfId="580" xr:uid="{D891D71E-072B-48F5-B76F-2672AAD2138A}"/>
    <cellStyle name="כותרת 2 2 2" xfId="794" xr:uid="{7BEE47F7-8F96-4233-BCA6-C21A69DC4380}"/>
    <cellStyle name="כותרת 2 3" xfId="793" xr:uid="{EB888B61-9981-46DA-83CA-8F6EADAC1D06}"/>
    <cellStyle name="כותרת 3 2" xfId="581" xr:uid="{6921B2EC-A4B4-4A69-9385-75F0A65BCD59}"/>
    <cellStyle name="כותרת 3 2 2" xfId="796" xr:uid="{0727E07A-4716-43D3-B5E6-4F1D657AA2C3}"/>
    <cellStyle name="כותרת 3 3" xfId="795" xr:uid="{4B187BD9-C2DE-42EC-96A8-3C6219EE3806}"/>
    <cellStyle name="כותרת 4 2" xfId="582" xr:uid="{A6E75D9F-CF5B-40D0-ACE8-C28E6FF34685}"/>
    <cellStyle name="כותרת 4 2 2" xfId="798" xr:uid="{62CA7DA6-27C6-4844-A234-23D941204C79}"/>
    <cellStyle name="כותרת 4 3" xfId="797" xr:uid="{ECCC73AA-6F48-4A19-9173-233179F5E6E9}"/>
    <cellStyle name="כותרת 5" xfId="583" xr:uid="{93D5C4D2-CA94-4B3F-BB3E-7ED7075D85BC}"/>
    <cellStyle name="כותרת 5 2" xfId="799" xr:uid="{D8899CE1-95D7-415D-BDB2-8116E850943F}"/>
    <cellStyle name="כותרת 6" xfId="790" xr:uid="{3A32DB04-F140-4F05-BAF8-4B9F919418CF}"/>
    <cellStyle name="ניטראלי 2" xfId="584" xr:uid="{2B36900E-46AC-4D15-90E5-16FE75420F67}"/>
    <cellStyle name="ניטראלי 2 2" xfId="801" xr:uid="{A6427F36-C149-4ABF-92B4-AD52BB5BDC2E}"/>
    <cellStyle name="ניטראלי 3" xfId="800" xr:uid="{DB06C8CA-404E-4C97-938E-CD5704063F8A}"/>
    <cellStyle name="סה&quot;כ 2" xfId="585" xr:uid="{6C070C43-D249-4344-8E00-B4C52FB13976}"/>
    <cellStyle name="סה&quot;כ 2 2" xfId="803" xr:uid="{651F1A32-7E33-4CF9-AC12-E4DC1DA9C383}"/>
    <cellStyle name="סה&quot;כ 3" xfId="802" xr:uid="{AB0230E7-3C82-4B08-B8A1-D2274BEEA4EC}"/>
    <cellStyle name="פלט 2" xfId="586" xr:uid="{67A27A82-CC80-416A-8A89-00063B184762}"/>
    <cellStyle name="פלט 2 2" xfId="805" xr:uid="{9B9448F3-07A3-4139-AA8F-78150544016A}"/>
    <cellStyle name="פלט 3" xfId="804" xr:uid="{89E2728E-2129-465F-9BF1-E83586FF049B}"/>
    <cellStyle name="קלט 2" xfId="587" xr:uid="{173F6330-D30D-4A3E-B8F4-CF79B5A81A80}"/>
    <cellStyle name="קלט 2 2" xfId="807" xr:uid="{71363B97-75C4-4D26-88AA-371B7E26CA27}"/>
    <cellStyle name="קלט 3" xfId="806" xr:uid="{9612291B-0248-4B26-AD8C-12E3A6058FBC}"/>
    <cellStyle name="רע 2" xfId="588" xr:uid="{7E074670-44FB-47E4-B573-E6E3C23B0A15}"/>
    <cellStyle name="רע 2 2" xfId="809" xr:uid="{CC21DA13-8B99-4F41-BC2B-E7B6E301EEF1}"/>
    <cellStyle name="רע 3" xfId="808" xr:uid="{849B98D0-97C6-48B1-92FD-41013DA866BD}"/>
    <cellStyle name="תא מסומן 2" xfId="589" xr:uid="{8A15D67D-A383-4F8E-BF69-5DD26C82D5B7}"/>
    <cellStyle name="תא מסומן 2 2" xfId="811" xr:uid="{59BDA7A9-9492-4A6F-ABF9-1646DE39D68C}"/>
    <cellStyle name="תא מסומן 3" xfId="810" xr:uid="{B85C56B9-EDE5-408A-9450-E5166490EB5F}"/>
    <cellStyle name="תא מקושר 2" xfId="590" xr:uid="{CD7B6192-CC19-42C2-A10C-310AE5FD5C0F}"/>
    <cellStyle name="תא מקושר 2 2" xfId="813" xr:uid="{1AF3D529-CB46-4705-9BED-8402E609D6F6}"/>
    <cellStyle name="תא מקושר 3" xfId="812" xr:uid="{0AA53A7B-9498-41DF-A5F9-2E25A48459B5}"/>
  </cellStyles>
  <dxfs count="0"/>
  <tableStyles count="0" defaultTableStyle="TableStyleMedium2" defaultPivotStyle="PivotStyleLight16"/>
  <colors>
    <mruColors>
      <color rgb="FF26F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Taxes/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ldata_ne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pdata_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MKLKALA/proj/cpi/cpi_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htdata_n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ישיר"/>
      <sheetName val="ישיר מותאם"/>
      <sheetName val="עקיף"/>
      <sheetName val="תקציב"/>
      <sheetName val="מדד"/>
      <sheetName val="חישובים"/>
      <sheetName val="תחזית"/>
      <sheetName val="data_na"/>
      <sheetName val="l_hashav"/>
      <sheetName val="מוצרים-ייבוא"/>
      <sheetName val="לוח "/>
      <sheetName val="התאמות"/>
      <sheetName val="data"/>
      <sheetName val="מס חברות"/>
    </sheetNames>
    <sheetDataSet>
      <sheetData sheetId="0">
        <row r="6">
          <cell r="D6">
            <v>4094236</v>
          </cell>
        </row>
        <row r="7">
          <cell r="D7">
            <v>4438306</v>
          </cell>
        </row>
        <row r="8">
          <cell r="D8">
            <v>4409521</v>
          </cell>
        </row>
        <row r="9">
          <cell r="D9">
            <v>4015955</v>
          </cell>
        </row>
        <row r="10">
          <cell r="D10">
            <v>4388474</v>
          </cell>
        </row>
        <row r="11">
          <cell r="D11">
            <v>3910048</v>
          </cell>
        </row>
        <row r="12">
          <cell r="D12">
            <v>4803693</v>
          </cell>
        </row>
        <row r="13">
          <cell r="D13">
            <v>4111349</v>
          </cell>
        </row>
        <row r="14">
          <cell r="D14">
            <v>4618324</v>
          </cell>
        </row>
        <row r="15">
          <cell r="D15">
            <v>3945093</v>
          </cell>
        </row>
        <row r="16">
          <cell r="D16">
            <v>4513833</v>
          </cell>
        </row>
        <row r="17">
          <cell r="D17">
            <v>3749646</v>
          </cell>
        </row>
        <row r="18">
          <cell r="D18">
            <v>5125587</v>
          </cell>
        </row>
        <row r="19">
          <cell r="D19">
            <v>5129962</v>
          </cell>
        </row>
        <row r="20">
          <cell r="D20">
            <v>5076007</v>
          </cell>
        </row>
        <row r="21">
          <cell r="D21">
            <v>4837182</v>
          </cell>
        </row>
        <row r="22">
          <cell r="D22">
            <v>5201818</v>
          </cell>
        </row>
        <row r="23">
          <cell r="D23">
            <v>4350077</v>
          </cell>
        </row>
        <row r="24">
          <cell r="D24">
            <v>5529868</v>
          </cell>
        </row>
        <row r="25">
          <cell r="D25">
            <v>4926189</v>
          </cell>
        </row>
        <row r="26">
          <cell r="D26">
            <v>5389384</v>
          </cell>
        </row>
        <row r="27">
          <cell r="D27">
            <v>4786845</v>
          </cell>
        </row>
        <row r="28">
          <cell r="D28">
            <v>4851836</v>
          </cell>
        </row>
        <row r="29">
          <cell r="D29">
            <v>4249340</v>
          </cell>
        </row>
        <row r="30">
          <cell r="D30">
            <v>5869410</v>
          </cell>
        </row>
        <row r="31">
          <cell r="D31">
            <v>3785349</v>
          </cell>
        </row>
        <row r="32">
          <cell r="D32">
            <v>6746000</v>
          </cell>
        </row>
        <row r="33">
          <cell r="D33">
            <v>5446300</v>
          </cell>
        </row>
        <row r="34">
          <cell r="D34">
            <v>5624066</v>
          </cell>
        </row>
        <row r="35">
          <cell r="D35">
            <v>4699947</v>
          </cell>
        </row>
        <row r="36">
          <cell r="D36">
            <v>6148992</v>
          </cell>
        </row>
        <row r="37">
          <cell r="D37">
            <v>4776638</v>
          </cell>
        </row>
        <row r="38">
          <cell r="D38">
            <v>5668694</v>
          </cell>
        </row>
        <row r="39">
          <cell r="D39">
            <v>5927409</v>
          </cell>
        </row>
        <row r="40">
          <cell r="D40">
            <v>4879520</v>
          </cell>
        </row>
        <row r="41">
          <cell r="D41">
            <v>4878340</v>
          </cell>
        </row>
        <row r="42">
          <cell r="D42">
            <v>5913763</v>
          </cell>
        </row>
        <row r="43">
          <cell r="D43">
            <v>5562443</v>
          </cell>
        </row>
        <row r="44">
          <cell r="D44">
            <v>5145818</v>
          </cell>
        </row>
        <row r="45">
          <cell r="D45">
            <v>5489420</v>
          </cell>
        </row>
        <row r="46">
          <cell r="D46">
            <v>6402286</v>
          </cell>
        </row>
        <row r="47">
          <cell r="D47">
            <v>5558709</v>
          </cell>
        </row>
        <row r="48">
          <cell r="D48">
            <v>6472288</v>
          </cell>
        </row>
        <row r="49">
          <cell r="D49">
            <v>5701698</v>
          </cell>
        </row>
        <row r="50">
          <cell r="D50">
            <v>5620984</v>
          </cell>
        </row>
        <row r="51">
          <cell r="D51">
            <v>6148096</v>
          </cell>
        </row>
        <row r="52">
          <cell r="D52">
            <v>5812873</v>
          </cell>
        </row>
        <row r="53">
          <cell r="D53">
            <v>5694103</v>
          </cell>
        </row>
        <row r="54">
          <cell r="D54">
            <v>7490163</v>
          </cell>
        </row>
        <row r="55">
          <cell r="D55">
            <v>7360297</v>
          </cell>
        </row>
        <row r="56">
          <cell r="D56">
            <v>7074230</v>
          </cell>
        </row>
        <row r="57">
          <cell r="D57">
            <v>6485851</v>
          </cell>
        </row>
        <row r="58">
          <cell r="D58">
            <v>8227477</v>
          </cell>
        </row>
        <row r="59">
          <cell r="D59">
            <v>6922465</v>
          </cell>
        </row>
        <row r="60">
          <cell r="D60">
            <v>7243961</v>
          </cell>
        </row>
        <row r="61">
          <cell r="D61">
            <v>7066621</v>
          </cell>
        </row>
        <row r="62">
          <cell r="D62">
            <v>7267254</v>
          </cell>
        </row>
        <row r="63">
          <cell r="D63">
            <v>7072583</v>
          </cell>
        </row>
        <row r="64">
          <cell r="D64">
            <v>7261355</v>
          </cell>
        </row>
        <row r="65">
          <cell r="D65">
            <v>5657144</v>
          </cell>
        </row>
        <row r="66">
          <cell r="D66">
            <v>7889210</v>
          </cell>
        </row>
        <row r="67">
          <cell r="D67">
            <v>7179550</v>
          </cell>
        </row>
        <row r="68">
          <cell r="D68">
            <v>8247003</v>
          </cell>
        </row>
        <row r="69">
          <cell r="D69">
            <v>6732994</v>
          </cell>
        </row>
        <row r="70">
          <cell r="D70">
            <v>7538929</v>
          </cell>
        </row>
        <row r="71">
          <cell r="D71">
            <v>6925290</v>
          </cell>
        </row>
        <row r="72">
          <cell r="D72">
            <v>7992749</v>
          </cell>
        </row>
        <row r="73">
          <cell r="D73">
            <v>7277701</v>
          </cell>
        </row>
        <row r="74">
          <cell r="D74">
            <v>7239242</v>
          </cell>
        </row>
        <row r="75">
          <cell r="D75">
            <v>6080093</v>
          </cell>
        </row>
        <row r="76">
          <cell r="D76">
            <v>6434138</v>
          </cell>
        </row>
        <row r="77">
          <cell r="D77">
            <v>5801613</v>
          </cell>
        </row>
        <row r="78">
          <cell r="D78">
            <v>7218113</v>
          </cell>
        </row>
        <row r="79">
          <cell r="D79">
            <v>7185104</v>
          </cell>
        </row>
        <row r="80">
          <cell r="D80">
            <v>6990904</v>
          </cell>
        </row>
        <row r="81">
          <cell r="D81">
            <v>6780112</v>
          </cell>
        </row>
        <row r="82">
          <cell r="D82">
            <v>7070730</v>
          </cell>
        </row>
        <row r="83">
          <cell r="D83">
            <v>6161071</v>
          </cell>
        </row>
        <row r="84">
          <cell r="D84">
            <v>7792407</v>
          </cell>
        </row>
        <row r="85">
          <cell r="D85">
            <v>6231876</v>
          </cell>
        </row>
        <row r="86">
          <cell r="D86">
            <v>6523399</v>
          </cell>
        </row>
        <row r="87">
          <cell r="D87">
            <v>5228968</v>
          </cell>
        </row>
        <row r="88">
          <cell r="D88">
            <v>7348505</v>
          </cell>
        </row>
        <row r="89">
          <cell r="D89">
            <v>6015343</v>
          </cell>
        </row>
        <row r="90">
          <cell r="D90">
            <v>6326873</v>
          </cell>
        </row>
        <row r="91">
          <cell r="D91">
            <v>6344547</v>
          </cell>
        </row>
        <row r="92">
          <cell r="D92">
            <v>6709148</v>
          </cell>
        </row>
        <row r="93">
          <cell r="D93">
            <v>6001460</v>
          </cell>
        </row>
        <row r="94">
          <cell r="D94">
            <v>6573474</v>
          </cell>
        </row>
        <row r="95">
          <cell r="D95">
            <v>5976298</v>
          </cell>
        </row>
        <row r="96">
          <cell r="D96">
            <v>7202422</v>
          </cell>
        </row>
        <row r="97">
          <cell r="D97">
            <v>6322372</v>
          </cell>
        </row>
        <row r="98">
          <cell r="D98">
            <v>6541746</v>
          </cell>
        </row>
        <row r="99">
          <cell r="D99">
            <v>6265940</v>
          </cell>
        </row>
        <row r="100">
          <cell r="D100">
            <v>6387161</v>
          </cell>
        </row>
        <row r="101">
          <cell r="D101">
            <v>5543115</v>
          </cell>
        </row>
        <row r="102">
          <cell r="D102">
            <v>6920434</v>
          </cell>
        </row>
        <row r="103">
          <cell r="D103">
            <v>7528923</v>
          </cell>
        </row>
        <row r="104">
          <cell r="D104">
            <v>7202367</v>
          </cell>
        </row>
        <row r="105">
          <cell r="D105">
            <v>6591437</v>
          </cell>
        </row>
        <row r="106">
          <cell r="D106">
            <v>6849586</v>
          </cell>
        </row>
        <row r="107">
          <cell r="D107">
            <v>5861768</v>
          </cell>
        </row>
        <row r="108">
          <cell r="D108">
            <v>7085774</v>
          </cell>
        </row>
        <row r="109">
          <cell r="D109">
            <v>6174724</v>
          </cell>
        </row>
        <row r="110">
          <cell r="D110">
            <v>6925513</v>
          </cell>
        </row>
        <row r="111">
          <cell r="D111">
            <v>6348045</v>
          </cell>
        </row>
        <row r="112">
          <cell r="D112">
            <v>6683940</v>
          </cell>
        </row>
        <row r="113">
          <cell r="D113">
            <v>5938975</v>
          </cell>
        </row>
        <row r="114">
          <cell r="D114">
            <v>8374396</v>
          </cell>
        </row>
        <row r="115">
          <cell r="D115">
            <v>7002870</v>
          </cell>
        </row>
        <row r="116">
          <cell r="D116">
            <v>7819350</v>
          </cell>
        </row>
        <row r="117">
          <cell r="D117">
            <v>7045658</v>
          </cell>
        </row>
        <row r="118">
          <cell r="D118">
            <v>7929724</v>
          </cell>
        </row>
        <row r="119">
          <cell r="D119">
            <v>7014348</v>
          </cell>
        </row>
        <row r="120">
          <cell r="D120">
            <v>7606478</v>
          </cell>
        </row>
        <row r="121">
          <cell r="D121">
            <v>7155260</v>
          </cell>
        </row>
        <row r="122">
          <cell r="D122">
            <v>7709526</v>
          </cell>
        </row>
        <row r="123">
          <cell r="D123">
            <v>7201486</v>
          </cell>
        </row>
        <row r="124">
          <cell r="D124">
            <v>7572549</v>
          </cell>
        </row>
        <row r="125">
          <cell r="D125">
            <v>5940260</v>
          </cell>
        </row>
        <row r="126">
          <cell r="D126">
            <v>9976129</v>
          </cell>
        </row>
        <row r="127">
          <cell r="D127">
            <v>8916332</v>
          </cell>
        </row>
        <row r="128">
          <cell r="D128">
            <v>8655142</v>
          </cell>
        </row>
        <row r="129">
          <cell r="D129">
            <v>9007967</v>
          </cell>
        </row>
        <row r="130">
          <cell r="D130">
            <v>3138754</v>
          </cell>
        </row>
        <row r="131">
          <cell r="D131">
            <v>7083903</v>
          </cell>
        </row>
        <row r="132">
          <cell r="D132">
            <v>8311087</v>
          </cell>
        </row>
        <row r="133">
          <cell r="D133">
            <v>10940593</v>
          </cell>
        </row>
        <row r="134">
          <cell r="D134">
            <v>8027318</v>
          </cell>
        </row>
        <row r="135">
          <cell r="D135">
            <v>7112625</v>
          </cell>
        </row>
        <row r="136">
          <cell r="D136">
            <v>8397375</v>
          </cell>
        </row>
        <row r="137">
          <cell r="D137">
            <v>6913367</v>
          </cell>
        </row>
        <row r="138">
          <cell r="D138">
            <v>11065180</v>
          </cell>
        </row>
        <row r="139">
          <cell r="D139">
            <v>9492712</v>
          </cell>
        </row>
        <row r="140">
          <cell r="D140">
            <v>9455339</v>
          </cell>
        </row>
        <row r="141">
          <cell r="D141">
            <v>9072046</v>
          </cell>
        </row>
        <row r="142">
          <cell r="D142">
            <v>8540851</v>
          </cell>
        </row>
        <row r="143">
          <cell r="D143">
            <v>8352850</v>
          </cell>
        </row>
        <row r="144">
          <cell r="D144">
            <v>9711529</v>
          </cell>
        </row>
        <row r="145">
          <cell r="D145">
            <v>8860131</v>
          </cell>
        </row>
        <row r="146">
          <cell r="D146">
            <v>8926598</v>
          </cell>
        </row>
        <row r="147">
          <cell r="D147">
            <v>7996301</v>
          </cell>
        </row>
        <row r="148">
          <cell r="D148">
            <v>8277616</v>
          </cell>
        </row>
        <row r="149">
          <cell r="D149">
            <v>7118460</v>
          </cell>
        </row>
        <row r="150">
          <cell r="D150">
            <v>9837549</v>
          </cell>
        </row>
        <row r="151">
          <cell r="D151">
            <v>9179899</v>
          </cell>
        </row>
        <row r="152">
          <cell r="D152">
            <v>8351407</v>
          </cell>
        </row>
        <row r="153">
          <cell r="D153">
            <v>8599234</v>
          </cell>
        </row>
        <row r="154">
          <cell r="D154">
            <v>8799036</v>
          </cell>
        </row>
        <row r="155">
          <cell r="D155">
            <v>7133585</v>
          </cell>
        </row>
        <row r="156">
          <cell r="D156">
            <v>8730591</v>
          </cell>
        </row>
        <row r="157">
          <cell r="D157">
            <v>7506586</v>
          </cell>
        </row>
        <row r="158">
          <cell r="D158">
            <v>7790751</v>
          </cell>
        </row>
        <row r="159">
          <cell r="D159">
            <v>7164691</v>
          </cell>
        </row>
        <row r="160">
          <cell r="D160">
            <v>7140591</v>
          </cell>
        </row>
        <row r="161">
          <cell r="D161">
            <v>6253365</v>
          </cell>
        </row>
        <row r="162">
          <cell r="D162">
            <v>8244658</v>
          </cell>
        </row>
        <row r="163">
          <cell r="D163">
            <v>6967175</v>
          </cell>
        </row>
        <row r="164">
          <cell r="D164">
            <v>7037855</v>
          </cell>
        </row>
        <row r="165">
          <cell r="D165">
            <v>7981594</v>
          </cell>
        </row>
        <row r="166">
          <cell r="D166">
            <v>7228746</v>
          </cell>
        </row>
        <row r="167">
          <cell r="D167">
            <v>6141469</v>
          </cell>
        </row>
        <row r="168">
          <cell r="D168">
            <v>7660139</v>
          </cell>
        </row>
        <row r="169">
          <cell r="D169">
            <v>6789138</v>
          </cell>
        </row>
        <row r="170">
          <cell r="D170">
            <v>7536147</v>
          </cell>
        </row>
        <row r="171">
          <cell r="D171">
            <v>6975021</v>
          </cell>
        </row>
        <row r="172">
          <cell r="D172">
            <v>7861294</v>
          </cell>
        </row>
        <row r="173">
          <cell r="D173">
            <v>6644939</v>
          </cell>
        </row>
        <row r="174">
          <cell r="D174">
            <v>8856871</v>
          </cell>
        </row>
        <row r="175">
          <cell r="D175">
            <v>7740673</v>
          </cell>
        </row>
        <row r="176">
          <cell r="D176">
            <v>7846670</v>
          </cell>
        </row>
        <row r="177">
          <cell r="D177">
            <v>7897049</v>
          </cell>
        </row>
        <row r="178">
          <cell r="D178">
            <v>8609001</v>
          </cell>
        </row>
        <row r="179">
          <cell r="D179">
            <v>6523061</v>
          </cell>
        </row>
        <row r="180">
          <cell r="D180">
            <v>8984522</v>
          </cell>
        </row>
        <row r="181">
          <cell r="D181">
            <v>7247257</v>
          </cell>
        </row>
        <row r="182">
          <cell r="D182">
            <v>7954194</v>
          </cell>
        </row>
        <row r="183">
          <cell r="D183">
            <v>7964682</v>
          </cell>
        </row>
        <row r="184">
          <cell r="D184">
            <v>8228770</v>
          </cell>
        </row>
        <row r="185">
          <cell r="D185">
            <v>7081062</v>
          </cell>
        </row>
        <row r="186">
          <cell r="D186">
            <v>10174049</v>
          </cell>
        </row>
        <row r="187">
          <cell r="D187">
            <v>9559864</v>
          </cell>
        </row>
        <row r="188">
          <cell r="D188">
            <v>8642730</v>
          </cell>
        </row>
        <row r="189">
          <cell r="D189">
            <v>8738781</v>
          </cell>
        </row>
        <row r="190">
          <cell r="D190">
            <v>9553096</v>
          </cell>
        </row>
        <row r="191">
          <cell r="D191">
            <v>7761205</v>
          </cell>
        </row>
        <row r="192">
          <cell r="D192">
            <v>9605982</v>
          </cell>
        </row>
        <row r="193">
          <cell r="D193">
            <v>8089765</v>
          </cell>
        </row>
        <row r="194">
          <cell r="D194">
            <v>8010842</v>
          </cell>
        </row>
        <row r="195">
          <cell r="D195">
            <v>7870959</v>
          </cell>
        </row>
        <row r="196">
          <cell r="D196">
            <v>7936430</v>
          </cell>
        </row>
        <row r="197">
          <cell r="D197">
            <v>8593669</v>
          </cell>
        </row>
        <row r="198">
          <cell r="D198">
            <v>13285615</v>
          </cell>
        </row>
        <row r="199">
          <cell r="D199">
            <v>8898153</v>
          </cell>
        </row>
        <row r="200">
          <cell r="D200">
            <v>8447381</v>
          </cell>
        </row>
        <row r="201">
          <cell r="D201">
            <v>8624612</v>
          </cell>
        </row>
        <row r="202">
          <cell r="D202">
            <v>8884096</v>
          </cell>
        </row>
        <row r="203">
          <cell r="D203">
            <v>8140810</v>
          </cell>
        </row>
        <row r="204">
          <cell r="D204">
            <v>9351142</v>
          </cell>
        </row>
        <row r="205">
          <cell r="D205">
            <v>7982818</v>
          </cell>
        </row>
        <row r="206">
          <cell r="D206">
            <v>8810710</v>
          </cell>
        </row>
        <row r="207">
          <cell r="D207">
            <v>7852185</v>
          </cell>
        </row>
        <row r="208">
          <cell r="D208">
            <v>8895425</v>
          </cell>
        </row>
        <row r="209">
          <cell r="D209">
            <v>9759915</v>
          </cell>
        </row>
        <row r="210">
          <cell r="D210">
            <v>11548093</v>
          </cell>
        </row>
        <row r="211">
          <cell r="D211">
            <v>8451404</v>
          </cell>
        </row>
        <row r="212">
          <cell r="D212">
            <v>8689945</v>
          </cell>
        </row>
        <row r="213">
          <cell r="D213">
            <v>9369807</v>
          </cell>
        </row>
        <row r="214">
          <cell r="D214">
            <v>11584245</v>
          </cell>
        </row>
        <row r="215">
          <cell r="D215">
            <v>9591593</v>
          </cell>
        </row>
        <row r="216">
          <cell r="D216">
            <v>11292339</v>
          </cell>
        </row>
        <row r="217">
          <cell r="D217">
            <v>9526757</v>
          </cell>
        </row>
        <row r="218">
          <cell r="D218">
            <v>9604200</v>
          </cell>
        </row>
        <row r="219">
          <cell r="D219">
            <v>9526536</v>
          </cell>
        </row>
        <row r="220">
          <cell r="D220">
            <v>10684757</v>
          </cell>
        </row>
        <row r="221">
          <cell r="D221">
            <v>11903360</v>
          </cell>
        </row>
        <row r="222">
          <cell r="D222">
            <v>13257733</v>
          </cell>
        </row>
        <row r="223">
          <cell r="D223">
            <v>10067830</v>
          </cell>
        </row>
        <row r="224">
          <cell r="D224">
            <v>10355374</v>
          </cell>
        </row>
        <row r="225">
          <cell r="D225">
            <v>10914127</v>
          </cell>
        </row>
        <row r="226">
          <cell r="D226">
            <v>10636698</v>
          </cell>
        </row>
        <row r="227">
          <cell r="D227">
            <v>8844401</v>
          </cell>
        </row>
        <row r="228">
          <cell r="D228">
            <v>11763402</v>
          </cell>
        </row>
        <row r="229">
          <cell r="D229">
            <v>10935451</v>
          </cell>
        </row>
        <row r="230">
          <cell r="D230">
            <v>9494901</v>
          </cell>
        </row>
        <row r="231">
          <cell r="D231">
            <v>10479441</v>
          </cell>
        </row>
        <row r="232">
          <cell r="D232">
            <v>9758211</v>
          </cell>
        </row>
        <row r="233">
          <cell r="D233">
            <v>9712011</v>
          </cell>
        </row>
        <row r="234">
          <cell r="D234">
            <v>14303750</v>
          </cell>
        </row>
        <row r="235">
          <cell r="D235">
            <v>10601891</v>
          </cell>
        </row>
        <row r="236">
          <cell r="D236">
            <v>11524526</v>
          </cell>
        </row>
        <row r="237">
          <cell r="D237">
            <v>11715724</v>
          </cell>
        </row>
        <row r="238">
          <cell r="D238">
            <v>11396879</v>
          </cell>
        </row>
        <row r="239">
          <cell r="D239">
            <v>10187587</v>
          </cell>
        </row>
        <row r="240">
          <cell r="D240">
            <v>13611563</v>
          </cell>
        </row>
        <row r="241">
          <cell r="D241">
            <v>11920431</v>
          </cell>
        </row>
        <row r="242">
          <cell r="D242">
            <v>11673292</v>
          </cell>
        </row>
        <row r="243">
          <cell r="D243">
            <v>10350604</v>
          </cell>
        </row>
        <row r="244">
          <cell r="D244">
            <v>11300247</v>
          </cell>
        </row>
        <row r="245">
          <cell r="D245">
            <v>10015517</v>
          </cell>
        </row>
        <row r="246">
          <cell r="D246">
            <v>14522028</v>
          </cell>
        </row>
        <row r="247">
          <cell r="D247">
            <v>11500009</v>
          </cell>
        </row>
        <row r="248">
          <cell r="D248">
            <v>11830657</v>
          </cell>
        </row>
        <row r="249">
          <cell r="D249">
            <v>11911371</v>
          </cell>
        </row>
        <row r="250">
          <cell r="D250">
            <v>12701774</v>
          </cell>
        </row>
        <row r="251">
          <cell r="D251">
            <v>11357789</v>
          </cell>
        </row>
        <row r="252">
          <cell r="D252">
            <v>13502819</v>
          </cell>
        </row>
        <row r="253">
          <cell r="D253">
            <v>11252991</v>
          </cell>
        </row>
        <row r="254">
          <cell r="D254">
            <v>12633504</v>
          </cell>
        </row>
        <row r="255">
          <cell r="D255">
            <v>7086565</v>
          </cell>
        </row>
        <row r="256">
          <cell r="D256">
            <v>15871018</v>
          </cell>
        </row>
        <row r="257">
          <cell r="D257">
            <v>11398069</v>
          </cell>
        </row>
        <row r="258">
          <cell r="D258">
            <v>16618041</v>
          </cell>
        </row>
        <row r="259">
          <cell r="D259">
            <v>12779290</v>
          </cell>
        </row>
        <row r="260">
          <cell r="D260">
            <v>12810830</v>
          </cell>
        </row>
        <row r="261">
          <cell r="D261">
            <v>13085280</v>
          </cell>
        </row>
        <row r="262">
          <cell r="D262">
            <v>13653739</v>
          </cell>
        </row>
        <row r="263">
          <cell r="D263">
            <v>12634812</v>
          </cell>
        </row>
        <row r="264">
          <cell r="D264">
            <v>14532578</v>
          </cell>
        </row>
        <row r="265">
          <cell r="D265">
            <v>15341695</v>
          </cell>
        </row>
        <row r="266">
          <cell r="D266">
            <v>18325624</v>
          </cell>
        </row>
        <row r="267">
          <cell r="D267">
            <v>19724973</v>
          </cell>
        </row>
        <row r="268">
          <cell r="D268">
            <v>12495543</v>
          </cell>
        </row>
        <row r="269">
          <cell r="D269">
            <v>11373936</v>
          </cell>
        </row>
        <row r="270">
          <cell r="D270">
            <v>16870356</v>
          </cell>
        </row>
        <row r="271">
          <cell r="D271">
            <v>12956834</v>
          </cell>
        </row>
        <row r="272">
          <cell r="D272">
            <v>14193827</v>
          </cell>
        </row>
        <row r="273">
          <cell r="D273">
            <v>13992928</v>
          </cell>
        </row>
        <row r="274">
          <cell r="D274">
            <v>12458070</v>
          </cell>
        </row>
        <row r="275">
          <cell r="D275">
            <v>12103706</v>
          </cell>
        </row>
        <row r="276">
          <cell r="D276">
            <v>15425018</v>
          </cell>
        </row>
        <row r="277">
          <cell r="D277">
            <v>12819431</v>
          </cell>
        </row>
        <row r="278">
          <cell r="D278">
            <v>11579198</v>
          </cell>
        </row>
        <row r="279">
          <cell r="D279">
            <v>13262650</v>
          </cell>
        </row>
        <row r="280">
          <cell r="D280">
            <v>12961464</v>
          </cell>
        </row>
        <row r="281">
          <cell r="D281">
            <v>13519539</v>
          </cell>
        </row>
        <row r="282">
          <cell r="D282">
            <v>17051133</v>
          </cell>
        </row>
        <row r="283">
          <cell r="D283">
            <v>12337137</v>
          </cell>
        </row>
        <row r="284">
          <cell r="D284">
            <v>14236104</v>
          </cell>
        </row>
        <row r="285">
          <cell r="D285">
            <v>14130790</v>
          </cell>
        </row>
        <row r="286">
          <cell r="D286">
            <v>14855712</v>
          </cell>
        </row>
        <row r="287">
          <cell r="D287">
            <v>12427083</v>
          </cell>
        </row>
        <row r="288">
          <cell r="D288">
            <v>15260343</v>
          </cell>
        </row>
        <row r="289">
          <cell r="D289">
            <v>13317794</v>
          </cell>
        </row>
        <row r="290">
          <cell r="D290">
            <v>14234687</v>
          </cell>
        </row>
        <row r="291">
          <cell r="D291">
            <v>10723355</v>
          </cell>
        </row>
        <row r="292">
          <cell r="D292">
            <v>16195269</v>
          </cell>
        </row>
        <row r="293">
          <cell r="D293">
            <v>13835445</v>
          </cell>
        </row>
        <row r="294">
          <cell r="D294">
            <v>19066178</v>
          </cell>
        </row>
        <row r="295">
          <cell r="D295">
            <v>13935148</v>
          </cell>
        </row>
        <row r="296">
          <cell r="D296">
            <v>12261508</v>
          </cell>
        </row>
        <row r="297">
          <cell r="D297">
            <v>12357766</v>
          </cell>
        </row>
        <row r="298">
          <cell r="D298">
            <v>12312007</v>
          </cell>
        </row>
        <row r="299">
          <cell r="D299">
            <v>12427120</v>
          </cell>
        </row>
        <row r="300">
          <cell r="D300">
            <v>15246784</v>
          </cell>
        </row>
        <row r="301">
          <cell r="D301">
            <v>13494760</v>
          </cell>
        </row>
        <row r="302">
          <cell r="D302">
            <v>14629270</v>
          </cell>
        </row>
        <row r="303">
          <cell r="D303">
            <v>13249609</v>
          </cell>
        </row>
        <row r="304">
          <cell r="D304">
            <v>14620019</v>
          </cell>
        </row>
        <row r="305">
          <cell r="D305">
            <v>13998404</v>
          </cell>
        </row>
        <row r="306">
          <cell r="D306">
            <v>21397190</v>
          </cell>
        </row>
        <row r="307">
          <cell r="D307">
            <v>15498689</v>
          </cell>
        </row>
        <row r="308">
          <cell r="D308">
            <v>17256592</v>
          </cell>
        </row>
        <row r="309">
          <cell r="D309">
            <v>17448414</v>
          </cell>
        </row>
        <row r="310">
          <cell r="D310">
            <v>16553192</v>
          </cell>
        </row>
        <row r="311">
          <cell r="D311">
            <v>16008565</v>
          </cell>
        </row>
        <row r="312">
          <cell r="D312">
            <v>20407746</v>
          </cell>
        </row>
        <row r="313">
          <cell r="D313">
            <v>18671736</v>
          </cell>
        </row>
        <row r="314">
          <cell r="D314">
            <v>17560034</v>
          </cell>
        </row>
        <row r="315">
          <cell r="D315">
            <v>18683912</v>
          </cell>
        </row>
        <row r="316">
          <cell r="D316">
            <v>20545994</v>
          </cell>
        </row>
        <row r="317">
          <cell r="D317">
            <v>20785795</v>
          </cell>
        </row>
        <row r="318">
          <cell r="D318">
            <v>31101004</v>
          </cell>
        </row>
        <row r="319">
          <cell r="D319">
            <v>21016509</v>
          </cell>
        </row>
        <row r="320">
          <cell r="D320">
            <v>21266640</v>
          </cell>
        </row>
        <row r="321">
          <cell r="D321">
            <v>21137659</v>
          </cell>
        </row>
        <row r="322">
          <cell r="D322">
            <v>23433864</v>
          </cell>
        </row>
        <row r="323">
          <cell r="D323">
            <v>19933274</v>
          </cell>
        </row>
        <row r="324">
          <cell r="D324">
            <v>22012211</v>
          </cell>
        </row>
        <row r="325">
          <cell r="D325">
            <v>21048614</v>
          </cell>
        </row>
        <row r="326">
          <cell r="D326">
            <v>20061571</v>
          </cell>
        </row>
        <row r="327">
          <cell r="D327">
            <v>19687371</v>
          </cell>
        </row>
        <row r="328">
          <cell r="D328">
            <v>20199634</v>
          </cell>
        </row>
        <row r="329">
          <cell r="D329">
            <v>18586751</v>
          </cell>
        </row>
        <row r="330">
          <cell r="D330">
            <v>28744199</v>
          </cell>
        </row>
        <row r="331">
          <cell r="D331">
            <v>20564892</v>
          </cell>
        </row>
        <row r="332">
          <cell r="D332">
            <v>20501240</v>
          </cell>
        </row>
        <row r="333">
          <cell r="D333">
            <v>20705326</v>
          </cell>
        </row>
        <row r="334">
          <cell r="D334">
            <v>20253263</v>
          </cell>
        </row>
        <row r="335">
          <cell r="D335">
            <v>18254997</v>
          </cell>
        </row>
        <row r="336">
          <cell r="D336">
            <v>21319716</v>
          </cell>
        </row>
        <row r="337">
          <cell r="D337">
            <v>18707598</v>
          </cell>
        </row>
        <row r="338">
          <cell r="D338">
            <v>19923881</v>
          </cell>
        </row>
        <row r="339">
          <cell r="D339">
            <v>16640997</v>
          </cell>
        </row>
        <row r="340">
          <cell r="D340">
            <v>16939795</v>
          </cell>
        </row>
        <row r="341">
          <cell r="D341">
            <v>17959654</v>
          </cell>
        </row>
        <row r="342">
          <cell r="D342">
            <v>28143571</v>
          </cell>
        </row>
        <row r="343">
          <cell r="D343">
            <v>19580322</v>
          </cell>
        </row>
        <row r="344">
          <cell r="D344">
            <v>21821737</v>
          </cell>
        </row>
        <row r="345">
          <cell r="D345">
            <v>22312038</v>
          </cell>
        </row>
        <row r="346">
          <cell r="D346">
            <v>21755808</v>
          </cell>
        </row>
        <row r="347">
          <cell r="D347">
            <v>19942723</v>
          </cell>
        </row>
        <row r="348">
          <cell r="D348">
            <v>22854164</v>
          </cell>
        </row>
        <row r="349">
          <cell r="D349">
            <v>21290401</v>
          </cell>
        </row>
        <row r="350">
          <cell r="D350">
            <v>21221358</v>
          </cell>
        </row>
        <row r="351">
          <cell r="D351">
            <v>20885405</v>
          </cell>
        </row>
        <row r="352">
          <cell r="D352">
            <v>21790281</v>
          </cell>
        </row>
        <row r="353">
          <cell r="D353">
            <v>22473904</v>
          </cell>
        </row>
      </sheetData>
      <sheetData sheetId="1"/>
      <sheetData sheetId="2">
        <row r="6">
          <cell r="H6">
            <v>703</v>
          </cell>
          <cell r="P6">
            <v>465</v>
          </cell>
          <cell r="Q6">
            <v>3588</v>
          </cell>
        </row>
        <row r="7">
          <cell r="H7">
            <v>637</v>
          </cell>
          <cell r="P7">
            <v>450</v>
          </cell>
          <cell r="Q7">
            <v>3086</v>
          </cell>
        </row>
        <row r="8">
          <cell r="H8">
            <v>726</v>
          </cell>
          <cell r="P8">
            <v>481</v>
          </cell>
          <cell r="Q8">
            <v>3672</v>
          </cell>
        </row>
        <row r="9">
          <cell r="H9">
            <v>605</v>
          </cell>
          <cell r="P9">
            <v>437</v>
          </cell>
          <cell r="Q9">
            <v>3373</v>
          </cell>
        </row>
        <row r="10">
          <cell r="H10">
            <v>715</v>
          </cell>
          <cell r="P10">
            <v>542</v>
          </cell>
          <cell r="Q10">
            <v>3637</v>
          </cell>
        </row>
        <row r="11">
          <cell r="H11">
            <v>704.2</v>
          </cell>
          <cell r="P11">
            <v>458</v>
          </cell>
          <cell r="Q11">
            <v>3276.7</v>
          </cell>
        </row>
        <row r="12">
          <cell r="H12">
            <v>603.19999999999993</v>
          </cell>
          <cell r="P12">
            <v>588.90000000000009</v>
          </cell>
          <cell r="Q12">
            <v>3934.2</v>
          </cell>
        </row>
        <row r="13">
          <cell r="H13">
            <v>614.71</v>
          </cell>
          <cell r="P13">
            <v>531.5</v>
          </cell>
          <cell r="Q13">
            <v>3198.3100000000004</v>
          </cell>
        </row>
        <row r="14">
          <cell r="H14">
            <v>621.95000000000005</v>
          </cell>
          <cell r="P14">
            <v>540.69999999999993</v>
          </cell>
          <cell r="Q14">
            <v>3832.25</v>
          </cell>
        </row>
        <row r="15">
          <cell r="H15">
            <v>712.98</v>
          </cell>
          <cell r="P15">
            <v>564</v>
          </cell>
          <cell r="Q15">
            <v>3460.48</v>
          </cell>
        </row>
        <row r="16">
          <cell r="H16">
            <v>611.32499999999993</v>
          </cell>
          <cell r="P16">
            <v>460.5</v>
          </cell>
          <cell r="Q16">
            <v>3496.7249999999999</v>
          </cell>
        </row>
        <row r="17">
          <cell r="H17">
            <v>759.798</v>
          </cell>
          <cell r="P17">
            <v>847</v>
          </cell>
          <cell r="Q17">
            <v>3696.598</v>
          </cell>
        </row>
        <row r="18">
          <cell r="H18">
            <v>611.5</v>
          </cell>
          <cell r="P18">
            <v>593</v>
          </cell>
          <cell r="Q18">
            <v>4085.9000000000005</v>
          </cell>
        </row>
        <row r="19">
          <cell r="H19">
            <v>612.1</v>
          </cell>
          <cell r="P19">
            <v>498.2</v>
          </cell>
          <cell r="Q19">
            <v>3297.2</v>
          </cell>
        </row>
        <row r="20">
          <cell r="H20">
            <v>778.59999999999991</v>
          </cell>
          <cell r="P20">
            <v>627.1</v>
          </cell>
          <cell r="Q20">
            <v>4405.3</v>
          </cell>
        </row>
        <row r="21">
          <cell r="H21">
            <v>636.4</v>
          </cell>
          <cell r="P21">
            <v>532.29999999999995</v>
          </cell>
          <cell r="Q21">
            <v>3451.8</v>
          </cell>
        </row>
        <row r="22">
          <cell r="H22">
            <v>714.69999999999993</v>
          </cell>
          <cell r="P22">
            <v>584.30000000000007</v>
          </cell>
          <cell r="Q22">
            <v>3908.7</v>
          </cell>
        </row>
        <row r="23">
          <cell r="H23">
            <v>890.1</v>
          </cell>
          <cell r="P23">
            <v>602.6</v>
          </cell>
          <cell r="Q23">
            <v>3742</v>
          </cell>
        </row>
        <row r="24">
          <cell r="H24">
            <v>559.6</v>
          </cell>
          <cell r="P24">
            <v>729.7</v>
          </cell>
          <cell r="Q24">
            <v>4124.7999999999993</v>
          </cell>
        </row>
        <row r="25">
          <cell r="H25">
            <v>623.5</v>
          </cell>
          <cell r="P25">
            <v>653.70000000000005</v>
          </cell>
          <cell r="Q25">
            <v>3705.7</v>
          </cell>
        </row>
        <row r="26">
          <cell r="H26">
            <v>648.9</v>
          </cell>
          <cell r="P26">
            <v>602.29999999999995</v>
          </cell>
          <cell r="Q26">
            <v>4192</v>
          </cell>
        </row>
        <row r="27">
          <cell r="H27">
            <v>615.5</v>
          </cell>
          <cell r="P27">
            <v>633.5</v>
          </cell>
          <cell r="Q27">
            <v>3587.1</v>
          </cell>
        </row>
        <row r="28">
          <cell r="H28">
            <v>702.1</v>
          </cell>
          <cell r="P28">
            <v>565.29999999999995</v>
          </cell>
          <cell r="Q28">
            <v>4002.3</v>
          </cell>
        </row>
        <row r="29">
          <cell r="H29">
            <v>914.39199999999994</v>
          </cell>
          <cell r="P29">
            <v>676</v>
          </cell>
          <cell r="Q29">
            <v>3935.7159999999994</v>
          </cell>
        </row>
        <row r="30">
          <cell r="H30">
            <v>536.1</v>
          </cell>
          <cell r="P30">
            <v>592.79999999999995</v>
          </cell>
          <cell r="Q30">
            <v>3775.2</v>
          </cell>
        </row>
        <row r="31">
          <cell r="H31">
            <v>573.4</v>
          </cell>
          <cell r="P31">
            <v>537.90000000000009</v>
          </cell>
          <cell r="Q31">
            <v>3551.7</v>
          </cell>
        </row>
        <row r="32">
          <cell r="H32">
            <v>818.4</v>
          </cell>
          <cell r="P32">
            <v>657.5</v>
          </cell>
          <cell r="Q32">
            <v>4715.4000000000005</v>
          </cell>
        </row>
        <row r="33">
          <cell r="H33">
            <v>762.6</v>
          </cell>
          <cell r="P33">
            <v>575.1</v>
          </cell>
          <cell r="Q33">
            <v>3667.2</v>
          </cell>
        </row>
        <row r="34">
          <cell r="H34">
            <v>597.70000000000005</v>
          </cell>
          <cell r="P34">
            <v>637.9</v>
          </cell>
          <cell r="Q34">
            <v>4158.7999999999993</v>
          </cell>
        </row>
        <row r="35">
          <cell r="H35">
            <v>817.30000000000007</v>
          </cell>
          <cell r="P35">
            <v>675.3</v>
          </cell>
          <cell r="Q35">
            <v>3874.2999999999997</v>
          </cell>
        </row>
        <row r="36">
          <cell r="H36">
            <v>612.80000000000007</v>
          </cell>
          <cell r="P36">
            <v>699.9</v>
          </cell>
          <cell r="Q36">
            <v>4354.6499999999996</v>
          </cell>
        </row>
        <row r="37">
          <cell r="H37">
            <v>775.90000000000009</v>
          </cell>
          <cell r="P37">
            <v>687.4</v>
          </cell>
          <cell r="Q37">
            <v>4009.5</v>
          </cell>
        </row>
        <row r="38">
          <cell r="H38">
            <v>696.4</v>
          </cell>
          <cell r="P38">
            <v>617.9</v>
          </cell>
          <cell r="Q38">
            <v>4721.3</v>
          </cell>
        </row>
        <row r="39">
          <cell r="H39">
            <v>908.6</v>
          </cell>
          <cell r="P39">
            <v>645.80000000000007</v>
          </cell>
          <cell r="Q39">
            <v>3937.9</v>
          </cell>
        </row>
        <row r="40">
          <cell r="H40">
            <v>634.69999999999993</v>
          </cell>
          <cell r="P40">
            <v>686.30000000000007</v>
          </cell>
          <cell r="Q40">
            <v>4342.7</v>
          </cell>
        </row>
        <row r="41">
          <cell r="H41">
            <v>752.6</v>
          </cell>
          <cell r="P41">
            <v>699</v>
          </cell>
          <cell r="Q41">
            <v>4225</v>
          </cell>
        </row>
        <row r="42">
          <cell r="H42">
            <v>583.79999999999995</v>
          </cell>
          <cell r="P42">
            <v>633.6</v>
          </cell>
          <cell r="Q42">
            <v>4473.1000000000004</v>
          </cell>
        </row>
        <row r="43">
          <cell r="H43">
            <v>788.6</v>
          </cell>
          <cell r="P43">
            <v>596.70000000000005</v>
          </cell>
          <cell r="Q43">
            <v>4278.8</v>
          </cell>
        </row>
        <row r="44">
          <cell r="H44">
            <v>932.59999999999991</v>
          </cell>
          <cell r="P44">
            <v>662.9</v>
          </cell>
          <cell r="Q44">
            <v>4779.6000000000004</v>
          </cell>
        </row>
        <row r="45">
          <cell r="H45">
            <v>704.9</v>
          </cell>
          <cell r="P45">
            <v>649.29999999999995</v>
          </cell>
          <cell r="Q45">
            <v>3929.9999999999995</v>
          </cell>
        </row>
        <row r="46">
          <cell r="H46">
            <v>689.40000000000009</v>
          </cell>
          <cell r="P46">
            <v>664.6</v>
          </cell>
          <cell r="Q46">
            <v>4344</v>
          </cell>
        </row>
        <row r="47">
          <cell r="H47">
            <v>802.40000000000009</v>
          </cell>
          <cell r="P47">
            <v>715.6</v>
          </cell>
          <cell r="Q47">
            <v>4178.3999999999996</v>
          </cell>
        </row>
        <row r="48">
          <cell r="H48">
            <v>787.9</v>
          </cell>
          <cell r="P48">
            <v>708.6</v>
          </cell>
          <cell r="Q48">
            <v>4843.7</v>
          </cell>
        </row>
        <row r="49">
          <cell r="H49">
            <v>1047.9000000000001</v>
          </cell>
          <cell r="P49">
            <v>769.19999999999993</v>
          </cell>
          <cell r="Q49">
            <v>5015.2999999999993</v>
          </cell>
        </row>
        <row r="50">
          <cell r="H50">
            <v>821.90000000000009</v>
          </cell>
          <cell r="P50">
            <v>666.59999999999991</v>
          </cell>
          <cell r="Q50">
            <v>4815.8999999999996</v>
          </cell>
        </row>
        <row r="51">
          <cell r="H51">
            <v>814.3</v>
          </cell>
          <cell r="P51">
            <v>716.8</v>
          </cell>
          <cell r="Q51">
            <v>4269</v>
          </cell>
        </row>
        <row r="52">
          <cell r="H52">
            <v>959.80000000000007</v>
          </cell>
          <cell r="P52">
            <v>697.59999999999991</v>
          </cell>
          <cell r="Q52">
            <v>5251.2000000000007</v>
          </cell>
        </row>
        <row r="53">
          <cell r="H53">
            <v>897.19999999999993</v>
          </cell>
          <cell r="P53">
            <v>702.60000000000014</v>
          </cell>
          <cell r="Q53">
            <v>4426.2000000000007</v>
          </cell>
        </row>
        <row r="54">
          <cell r="H54">
            <v>730.9</v>
          </cell>
          <cell r="P54">
            <v>726</v>
          </cell>
          <cell r="Q54">
            <v>5048.9489999999996</v>
          </cell>
        </row>
        <row r="55">
          <cell r="H55">
            <v>948.9</v>
          </cell>
          <cell r="P55">
            <v>657.4</v>
          </cell>
          <cell r="Q55">
            <v>4484.009</v>
          </cell>
        </row>
        <row r="56">
          <cell r="H56">
            <v>1028.7</v>
          </cell>
          <cell r="P56">
            <v>620.6</v>
          </cell>
          <cell r="Q56">
            <v>5363.8810000000003</v>
          </cell>
        </row>
        <row r="57">
          <cell r="H57">
            <v>872.69999999999993</v>
          </cell>
          <cell r="P57">
            <v>663</v>
          </cell>
          <cell r="Q57">
            <v>4556.7</v>
          </cell>
        </row>
        <row r="58">
          <cell r="H58">
            <v>908.19999999999993</v>
          </cell>
          <cell r="P58">
            <v>733.50000000000011</v>
          </cell>
          <cell r="Q58">
            <v>5053.7999999999993</v>
          </cell>
        </row>
        <row r="59">
          <cell r="H59">
            <v>955.6</v>
          </cell>
          <cell r="P59">
            <v>710.5</v>
          </cell>
          <cell r="Q59">
            <v>4294.3</v>
          </cell>
        </row>
        <row r="60">
          <cell r="H60">
            <v>956.19999999999993</v>
          </cell>
          <cell r="P60">
            <v>776.00000000000011</v>
          </cell>
          <cell r="Q60">
            <v>5603.3</v>
          </cell>
        </row>
        <row r="61">
          <cell r="H61">
            <v>1025.7</v>
          </cell>
          <cell r="P61">
            <v>786</v>
          </cell>
          <cell r="Q61">
            <v>4919.5</v>
          </cell>
        </row>
        <row r="62">
          <cell r="H62">
            <v>782.69999999999993</v>
          </cell>
          <cell r="P62">
            <v>724.59999999999991</v>
          </cell>
          <cell r="Q62">
            <v>5115.0999999999995</v>
          </cell>
        </row>
        <row r="63">
          <cell r="H63">
            <v>830.1</v>
          </cell>
          <cell r="P63">
            <v>613.29999999999995</v>
          </cell>
          <cell r="Q63">
            <v>5247.5</v>
          </cell>
        </row>
        <row r="64">
          <cell r="H64">
            <v>888.4</v>
          </cell>
          <cell r="P64">
            <v>596.5</v>
          </cell>
          <cell r="Q64">
            <v>4125.098</v>
          </cell>
        </row>
        <row r="65">
          <cell r="H65">
            <v>899.30000000000007</v>
          </cell>
          <cell r="P65">
            <v>651.80000000000007</v>
          </cell>
          <cell r="Q65">
            <v>4164.9000000000005</v>
          </cell>
        </row>
        <row r="66">
          <cell r="H66">
            <v>924</v>
          </cell>
          <cell r="P66">
            <v>602</v>
          </cell>
          <cell r="Q66">
            <v>5994</v>
          </cell>
        </row>
        <row r="67">
          <cell r="H67">
            <v>851</v>
          </cell>
          <cell r="P67">
            <v>674</v>
          </cell>
          <cell r="Q67">
            <v>3983</v>
          </cell>
        </row>
        <row r="68">
          <cell r="H68">
            <v>998</v>
          </cell>
          <cell r="P68">
            <v>608</v>
          </cell>
          <cell r="Q68">
            <v>4961</v>
          </cell>
        </row>
        <row r="69">
          <cell r="H69">
            <v>706</v>
          </cell>
          <cell r="P69">
            <v>570</v>
          </cell>
          <cell r="Q69">
            <v>4300</v>
          </cell>
        </row>
        <row r="70">
          <cell r="H70">
            <v>833</v>
          </cell>
          <cell r="P70">
            <v>650</v>
          </cell>
          <cell r="Q70">
            <v>4861</v>
          </cell>
        </row>
        <row r="71">
          <cell r="H71">
            <v>781</v>
          </cell>
          <cell r="P71">
            <v>663</v>
          </cell>
          <cell r="Q71">
            <v>4228</v>
          </cell>
        </row>
        <row r="72">
          <cell r="H72">
            <v>972</v>
          </cell>
          <cell r="P72">
            <v>757</v>
          </cell>
          <cell r="Q72">
            <v>5451</v>
          </cell>
        </row>
        <row r="73">
          <cell r="H73">
            <v>925</v>
          </cell>
          <cell r="P73">
            <v>674</v>
          </cell>
          <cell r="Q73">
            <v>4715</v>
          </cell>
        </row>
        <row r="74">
          <cell r="H74">
            <v>724</v>
          </cell>
          <cell r="P74">
            <v>666</v>
          </cell>
          <cell r="Q74">
            <v>5491</v>
          </cell>
        </row>
        <row r="75">
          <cell r="H75">
            <v>761</v>
          </cell>
          <cell r="P75">
            <v>643</v>
          </cell>
          <cell r="Q75">
            <v>3950</v>
          </cell>
        </row>
        <row r="76">
          <cell r="H76">
            <v>775</v>
          </cell>
          <cell r="P76">
            <v>658</v>
          </cell>
          <cell r="Q76">
            <v>4811</v>
          </cell>
        </row>
        <row r="77">
          <cell r="H77">
            <v>927</v>
          </cell>
          <cell r="P77">
            <v>691</v>
          </cell>
          <cell r="Q77">
            <v>4729</v>
          </cell>
        </row>
        <row r="78">
          <cell r="H78">
            <v>1087</v>
          </cell>
          <cell r="P78">
            <v>661</v>
          </cell>
          <cell r="Q78">
            <v>5834</v>
          </cell>
        </row>
        <row r="79">
          <cell r="H79">
            <v>751</v>
          </cell>
          <cell r="P79">
            <v>655</v>
          </cell>
          <cell r="Q79">
            <v>4627</v>
          </cell>
        </row>
        <row r="80">
          <cell r="H80">
            <v>761</v>
          </cell>
          <cell r="P80">
            <v>662</v>
          </cell>
          <cell r="Q80">
            <v>5138</v>
          </cell>
        </row>
        <row r="81">
          <cell r="H81">
            <v>938</v>
          </cell>
          <cell r="P81">
            <v>613</v>
          </cell>
          <cell r="Q81">
            <v>4871</v>
          </cell>
        </row>
        <row r="82">
          <cell r="H82">
            <v>790</v>
          </cell>
          <cell r="P82">
            <v>774</v>
          </cell>
          <cell r="Q82">
            <v>5207</v>
          </cell>
        </row>
        <row r="83">
          <cell r="H83">
            <v>915</v>
          </cell>
          <cell r="P83">
            <v>752</v>
          </cell>
          <cell r="Q83">
            <v>4882</v>
          </cell>
        </row>
        <row r="84">
          <cell r="H84">
            <v>800</v>
          </cell>
          <cell r="P84">
            <v>837</v>
          </cell>
          <cell r="Q84">
            <v>5945</v>
          </cell>
        </row>
        <row r="85">
          <cell r="H85">
            <v>847</v>
          </cell>
          <cell r="P85">
            <v>860</v>
          </cell>
          <cell r="Q85">
            <v>5019</v>
          </cell>
        </row>
        <row r="86">
          <cell r="H86">
            <v>775</v>
          </cell>
          <cell r="P86">
            <v>799</v>
          </cell>
          <cell r="Q86">
            <v>6293</v>
          </cell>
        </row>
        <row r="87">
          <cell r="H87">
            <v>868</v>
          </cell>
          <cell r="P87">
            <v>795</v>
          </cell>
          <cell r="Q87">
            <v>5327</v>
          </cell>
        </row>
        <row r="88">
          <cell r="H88">
            <v>759</v>
          </cell>
          <cell r="P88">
            <v>771</v>
          </cell>
          <cell r="Q88">
            <v>4353</v>
          </cell>
        </row>
        <row r="89">
          <cell r="H89">
            <v>980</v>
          </cell>
          <cell r="P89">
            <v>783</v>
          </cell>
          <cell r="Q89">
            <v>5477</v>
          </cell>
        </row>
        <row r="90">
          <cell r="H90">
            <v>714</v>
          </cell>
          <cell r="P90">
            <v>818</v>
          </cell>
          <cell r="Q90">
            <v>5297</v>
          </cell>
        </row>
        <row r="91">
          <cell r="H91">
            <v>721</v>
          </cell>
          <cell r="P91">
            <v>742</v>
          </cell>
          <cell r="Q91">
            <v>4711</v>
          </cell>
        </row>
        <row r="92">
          <cell r="H92">
            <v>834</v>
          </cell>
          <cell r="P92">
            <v>767</v>
          </cell>
          <cell r="Q92">
            <v>5843</v>
          </cell>
        </row>
        <row r="93">
          <cell r="H93">
            <v>720</v>
          </cell>
          <cell r="P93">
            <v>700</v>
          </cell>
          <cell r="Q93">
            <v>4372</v>
          </cell>
        </row>
        <row r="94">
          <cell r="H94">
            <v>777</v>
          </cell>
          <cell r="P94">
            <v>799</v>
          </cell>
          <cell r="Q94">
            <v>5335</v>
          </cell>
        </row>
        <row r="95">
          <cell r="H95">
            <v>846</v>
          </cell>
          <cell r="P95">
            <v>819</v>
          </cell>
          <cell r="Q95">
            <v>4902</v>
          </cell>
        </row>
        <row r="96">
          <cell r="H96">
            <v>929</v>
          </cell>
          <cell r="P96">
            <v>856</v>
          </cell>
          <cell r="Q96">
            <v>5827</v>
          </cell>
        </row>
        <row r="97">
          <cell r="H97">
            <v>861</v>
          </cell>
          <cell r="P97">
            <v>837</v>
          </cell>
          <cell r="Q97">
            <v>5081</v>
          </cell>
        </row>
        <row r="98">
          <cell r="H98">
            <v>950</v>
          </cell>
          <cell r="P98">
            <v>801</v>
          </cell>
          <cell r="Q98">
            <v>6006</v>
          </cell>
        </row>
        <row r="99">
          <cell r="H99">
            <v>935</v>
          </cell>
          <cell r="P99">
            <v>769</v>
          </cell>
          <cell r="Q99">
            <v>5514</v>
          </cell>
        </row>
        <row r="100">
          <cell r="H100">
            <v>849</v>
          </cell>
          <cell r="P100">
            <v>752</v>
          </cell>
          <cell r="Q100">
            <v>5873</v>
          </cell>
        </row>
        <row r="101">
          <cell r="H101">
            <v>1054</v>
          </cell>
          <cell r="P101">
            <v>792</v>
          </cell>
          <cell r="Q101">
            <v>4867</v>
          </cell>
        </row>
        <row r="102">
          <cell r="H102">
            <v>960</v>
          </cell>
          <cell r="P102">
            <v>821</v>
          </cell>
          <cell r="Q102">
            <v>5889</v>
          </cell>
        </row>
        <row r="103">
          <cell r="H103">
            <v>878</v>
          </cell>
          <cell r="P103">
            <v>811</v>
          </cell>
          <cell r="Q103">
            <v>5296</v>
          </cell>
        </row>
        <row r="104">
          <cell r="H104">
            <v>983</v>
          </cell>
          <cell r="P104">
            <v>933</v>
          </cell>
          <cell r="Q104">
            <v>5975</v>
          </cell>
        </row>
        <row r="105">
          <cell r="H105">
            <v>528</v>
          </cell>
          <cell r="P105">
            <v>797</v>
          </cell>
          <cell r="Q105">
            <v>4708</v>
          </cell>
        </row>
        <row r="106">
          <cell r="H106">
            <v>1349</v>
          </cell>
          <cell r="P106">
            <v>818</v>
          </cell>
          <cell r="Q106">
            <v>6488</v>
          </cell>
        </row>
        <row r="107">
          <cell r="H107">
            <v>1049</v>
          </cell>
          <cell r="P107">
            <v>799</v>
          </cell>
          <cell r="Q107">
            <v>4596</v>
          </cell>
        </row>
        <row r="108">
          <cell r="H108">
            <v>860</v>
          </cell>
          <cell r="P108">
            <v>917</v>
          </cell>
          <cell r="Q108">
            <v>5463</v>
          </cell>
        </row>
        <row r="109">
          <cell r="H109">
            <v>1279</v>
          </cell>
          <cell r="P109">
            <v>859</v>
          </cell>
          <cell r="Q109">
            <v>6372</v>
          </cell>
        </row>
        <row r="110">
          <cell r="H110">
            <v>750</v>
          </cell>
          <cell r="P110">
            <v>834</v>
          </cell>
          <cell r="Q110">
            <v>5498</v>
          </cell>
        </row>
        <row r="111">
          <cell r="H111">
            <v>1043</v>
          </cell>
          <cell r="P111">
            <v>834</v>
          </cell>
          <cell r="Q111">
            <v>5533</v>
          </cell>
        </row>
        <row r="112">
          <cell r="H112">
            <v>1013</v>
          </cell>
          <cell r="P112">
            <v>798</v>
          </cell>
          <cell r="Q112">
            <v>5485</v>
          </cell>
        </row>
        <row r="113">
          <cell r="H113">
            <v>1178</v>
          </cell>
          <cell r="P113">
            <v>864</v>
          </cell>
          <cell r="Q113">
            <v>5268</v>
          </cell>
        </row>
        <row r="114">
          <cell r="H114">
            <v>925.5</v>
          </cell>
          <cell r="P114">
            <v>862.5</v>
          </cell>
          <cell r="Q114">
            <v>6208</v>
          </cell>
        </row>
        <row r="115">
          <cell r="H115">
            <v>844</v>
          </cell>
          <cell r="P115">
            <v>813</v>
          </cell>
          <cell r="Q115">
            <v>4919</v>
          </cell>
        </row>
        <row r="116">
          <cell r="H116">
            <v>932</v>
          </cell>
          <cell r="P116">
            <v>850</v>
          </cell>
          <cell r="Q116">
            <v>6021</v>
          </cell>
        </row>
        <row r="117">
          <cell r="H117">
            <v>760</v>
          </cell>
          <cell r="P117">
            <v>836</v>
          </cell>
          <cell r="Q117">
            <v>4764</v>
          </cell>
        </row>
        <row r="118">
          <cell r="H118">
            <v>1486</v>
          </cell>
          <cell r="P118">
            <v>842</v>
          </cell>
          <cell r="Q118">
            <v>7183</v>
          </cell>
        </row>
        <row r="119">
          <cell r="H119">
            <v>1131</v>
          </cell>
          <cell r="P119">
            <v>897</v>
          </cell>
          <cell r="Q119">
            <v>5040</v>
          </cell>
        </row>
        <row r="120">
          <cell r="H120">
            <v>1129</v>
          </cell>
          <cell r="P120">
            <v>966</v>
          </cell>
          <cell r="Q120">
            <v>6471</v>
          </cell>
        </row>
        <row r="121">
          <cell r="H121">
            <v>1310</v>
          </cell>
          <cell r="P121">
            <v>928</v>
          </cell>
          <cell r="Q121">
            <v>6088</v>
          </cell>
        </row>
        <row r="122">
          <cell r="H122">
            <v>973</v>
          </cell>
          <cell r="P122">
            <v>955</v>
          </cell>
          <cell r="Q122">
            <v>6321</v>
          </cell>
        </row>
        <row r="123">
          <cell r="H123">
            <v>787</v>
          </cell>
          <cell r="P123">
            <v>938</v>
          </cell>
          <cell r="Q123">
            <v>5567</v>
          </cell>
        </row>
        <row r="124">
          <cell r="H124">
            <v>1076</v>
          </cell>
          <cell r="P124">
            <v>894</v>
          </cell>
          <cell r="Q124">
            <v>5722</v>
          </cell>
        </row>
        <row r="125">
          <cell r="H125">
            <v>1206</v>
          </cell>
          <cell r="P125">
            <v>969</v>
          </cell>
          <cell r="Q125">
            <v>5454</v>
          </cell>
        </row>
        <row r="126">
          <cell r="H126">
            <v>1303</v>
          </cell>
          <cell r="P126">
            <v>867</v>
          </cell>
          <cell r="Q126">
            <v>7084</v>
          </cell>
        </row>
        <row r="127">
          <cell r="H127">
            <v>937</v>
          </cell>
          <cell r="P127">
            <v>814</v>
          </cell>
          <cell r="Q127">
            <v>5417</v>
          </cell>
        </row>
        <row r="128">
          <cell r="H128">
            <v>871</v>
          </cell>
          <cell r="P128">
            <v>912</v>
          </cell>
          <cell r="Q128">
            <v>5935</v>
          </cell>
        </row>
        <row r="129">
          <cell r="H129">
            <v>899</v>
          </cell>
          <cell r="P129">
            <v>862</v>
          </cell>
          <cell r="Q129">
            <v>6053</v>
          </cell>
        </row>
        <row r="130">
          <cell r="H130">
            <v>1361</v>
          </cell>
          <cell r="P130">
            <v>889</v>
          </cell>
          <cell r="Q130">
            <v>6517</v>
          </cell>
        </row>
        <row r="131">
          <cell r="H131">
            <v>1024</v>
          </cell>
          <cell r="P131">
            <v>944</v>
          </cell>
          <cell r="Q131">
            <v>5355</v>
          </cell>
        </row>
        <row r="132">
          <cell r="H132">
            <v>1235</v>
          </cell>
          <cell r="P132">
            <v>978</v>
          </cell>
          <cell r="Q132">
            <v>6712</v>
          </cell>
        </row>
        <row r="133">
          <cell r="H133">
            <v>1153</v>
          </cell>
          <cell r="P133">
            <v>934</v>
          </cell>
          <cell r="Q133">
            <v>5693</v>
          </cell>
        </row>
        <row r="134">
          <cell r="H134">
            <v>962</v>
          </cell>
          <cell r="P134">
            <v>983</v>
          </cell>
          <cell r="Q134">
            <v>6018</v>
          </cell>
        </row>
        <row r="135">
          <cell r="H135">
            <v>1125</v>
          </cell>
          <cell r="P135">
            <v>1022</v>
          </cell>
          <cell r="Q135">
            <v>6143</v>
          </cell>
        </row>
        <row r="136">
          <cell r="H136">
            <v>1060</v>
          </cell>
          <cell r="P136">
            <v>1093</v>
          </cell>
          <cell r="Q136">
            <v>6126</v>
          </cell>
        </row>
        <row r="137">
          <cell r="H137">
            <v>881</v>
          </cell>
          <cell r="P137">
            <v>1023</v>
          </cell>
          <cell r="Q137">
            <v>5528</v>
          </cell>
        </row>
        <row r="138">
          <cell r="H138">
            <v>1408</v>
          </cell>
          <cell r="P138">
            <v>997</v>
          </cell>
          <cell r="Q138">
            <v>7302</v>
          </cell>
        </row>
        <row r="139">
          <cell r="H139">
            <v>1299</v>
          </cell>
          <cell r="P139">
            <v>765</v>
          </cell>
          <cell r="Q139">
            <v>5933</v>
          </cell>
        </row>
        <row r="140">
          <cell r="H140">
            <v>1039</v>
          </cell>
          <cell r="P140">
            <v>947</v>
          </cell>
          <cell r="Q140">
            <v>6395</v>
          </cell>
        </row>
        <row r="141">
          <cell r="H141">
            <v>714</v>
          </cell>
          <cell r="P141">
            <v>923</v>
          </cell>
          <cell r="Q141">
            <v>5701</v>
          </cell>
        </row>
        <row r="142">
          <cell r="H142">
            <v>1648</v>
          </cell>
          <cell r="P142">
            <v>959</v>
          </cell>
          <cell r="Q142">
            <v>7148</v>
          </cell>
        </row>
        <row r="143">
          <cell r="H143">
            <v>1554</v>
          </cell>
          <cell r="P143">
            <v>843</v>
          </cell>
          <cell r="Q143">
            <v>5956</v>
          </cell>
        </row>
        <row r="144">
          <cell r="H144">
            <v>1586</v>
          </cell>
          <cell r="P144">
            <v>1074</v>
          </cell>
          <cell r="Q144">
            <v>7836</v>
          </cell>
        </row>
        <row r="145">
          <cell r="H145">
            <v>1492</v>
          </cell>
          <cell r="P145">
            <v>1137</v>
          </cell>
          <cell r="Q145">
            <v>6929</v>
          </cell>
        </row>
        <row r="146">
          <cell r="H146">
            <v>1038</v>
          </cell>
          <cell r="P146">
            <v>1064</v>
          </cell>
          <cell r="Q146">
            <v>6824</v>
          </cell>
        </row>
        <row r="147">
          <cell r="H147">
            <v>1353</v>
          </cell>
          <cell r="P147">
            <v>940</v>
          </cell>
          <cell r="Q147">
            <v>6463</v>
          </cell>
        </row>
        <row r="148">
          <cell r="H148">
            <v>1148</v>
          </cell>
          <cell r="P148">
            <v>990</v>
          </cell>
          <cell r="Q148">
            <v>6601</v>
          </cell>
        </row>
        <row r="149">
          <cell r="H149">
            <v>1243</v>
          </cell>
          <cell r="P149">
            <v>1038</v>
          </cell>
          <cell r="Q149">
            <v>6481</v>
          </cell>
        </row>
        <row r="150">
          <cell r="H150">
            <v>1687</v>
          </cell>
          <cell r="P150">
            <v>1120</v>
          </cell>
          <cell r="Q150">
            <v>8223</v>
          </cell>
        </row>
        <row r="151">
          <cell r="H151">
            <v>1387</v>
          </cell>
          <cell r="P151">
            <v>945</v>
          </cell>
          <cell r="Q151">
            <v>6255</v>
          </cell>
        </row>
        <row r="152">
          <cell r="H152">
            <v>1440</v>
          </cell>
          <cell r="P152">
            <v>1126</v>
          </cell>
          <cell r="Q152">
            <v>8075</v>
          </cell>
        </row>
        <row r="153">
          <cell r="H153">
            <v>1290</v>
          </cell>
          <cell r="P153">
            <v>1003</v>
          </cell>
          <cell r="Q153">
            <v>6170</v>
          </cell>
        </row>
        <row r="154">
          <cell r="H154">
            <v>1328</v>
          </cell>
          <cell r="P154">
            <v>1065</v>
          </cell>
          <cell r="Q154">
            <v>7678</v>
          </cell>
        </row>
        <row r="155">
          <cell r="H155">
            <v>1430</v>
          </cell>
          <cell r="P155">
            <v>1065</v>
          </cell>
          <cell r="Q155">
            <v>6505</v>
          </cell>
        </row>
        <row r="156">
          <cell r="H156">
            <v>1490</v>
          </cell>
          <cell r="P156">
            <v>1189</v>
          </cell>
          <cell r="Q156">
            <v>7975</v>
          </cell>
        </row>
        <row r="157">
          <cell r="H157">
            <v>1284</v>
          </cell>
          <cell r="P157">
            <v>1189</v>
          </cell>
          <cell r="Q157">
            <v>7125</v>
          </cell>
        </row>
        <row r="158">
          <cell r="H158">
            <v>1003</v>
          </cell>
          <cell r="P158">
            <v>1148</v>
          </cell>
          <cell r="Q158">
            <v>7104</v>
          </cell>
        </row>
        <row r="159">
          <cell r="H159">
            <v>912</v>
          </cell>
          <cell r="P159">
            <v>859</v>
          </cell>
          <cell r="Q159">
            <v>6327</v>
          </cell>
        </row>
        <row r="160">
          <cell r="H160">
            <v>1067</v>
          </cell>
          <cell r="P160">
            <v>1133</v>
          </cell>
          <cell r="Q160">
            <v>6684</v>
          </cell>
        </row>
        <row r="161">
          <cell r="H161">
            <v>779</v>
          </cell>
          <cell r="P161">
            <v>991</v>
          </cell>
          <cell r="Q161">
            <v>5105</v>
          </cell>
        </row>
        <row r="162">
          <cell r="H162">
            <v>1076</v>
          </cell>
          <cell r="P162">
            <v>1093</v>
          </cell>
          <cell r="Q162">
            <v>7008</v>
          </cell>
        </row>
        <row r="163">
          <cell r="H163">
            <v>1194</v>
          </cell>
          <cell r="P163">
            <v>770</v>
          </cell>
          <cell r="Q163">
            <v>5700</v>
          </cell>
        </row>
        <row r="164">
          <cell r="H164">
            <v>1324</v>
          </cell>
          <cell r="P164">
            <v>1109</v>
          </cell>
          <cell r="Q164">
            <v>7625</v>
          </cell>
        </row>
        <row r="165">
          <cell r="H165">
            <v>894</v>
          </cell>
          <cell r="P165">
            <v>917</v>
          </cell>
          <cell r="Q165">
            <v>5922</v>
          </cell>
        </row>
        <row r="166">
          <cell r="H166">
            <v>1135</v>
          </cell>
          <cell r="P166">
            <v>1263</v>
          </cell>
          <cell r="Q166">
            <v>7170</v>
          </cell>
        </row>
        <row r="167">
          <cell r="H167">
            <v>1513</v>
          </cell>
          <cell r="P167">
            <v>983</v>
          </cell>
          <cell r="Q167">
            <v>6328</v>
          </cell>
        </row>
        <row r="168">
          <cell r="H168">
            <v>2189</v>
          </cell>
          <cell r="P168">
            <v>1345</v>
          </cell>
          <cell r="Q168">
            <v>10244</v>
          </cell>
        </row>
        <row r="169">
          <cell r="H169">
            <v>1175</v>
          </cell>
          <cell r="P169">
            <v>1248</v>
          </cell>
          <cell r="Q169">
            <v>7264</v>
          </cell>
        </row>
        <row r="170">
          <cell r="H170">
            <v>886</v>
          </cell>
          <cell r="P170">
            <v>1210</v>
          </cell>
          <cell r="Q170">
            <v>7567</v>
          </cell>
        </row>
        <row r="171">
          <cell r="H171">
            <v>1146</v>
          </cell>
          <cell r="P171">
            <v>1164</v>
          </cell>
          <cell r="Q171">
            <v>6552</v>
          </cell>
        </row>
        <row r="172">
          <cell r="H172">
            <v>1107</v>
          </cell>
          <cell r="P172">
            <v>1328</v>
          </cell>
          <cell r="Q172">
            <v>8285</v>
          </cell>
        </row>
        <row r="173">
          <cell r="H173">
            <v>1272</v>
          </cell>
          <cell r="P173">
            <v>1297</v>
          </cell>
          <cell r="Q173">
            <v>6926</v>
          </cell>
        </row>
        <row r="174">
          <cell r="H174">
            <v>1224</v>
          </cell>
          <cell r="P174">
            <v>1457</v>
          </cell>
          <cell r="Q174">
            <v>9162</v>
          </cell>
        </row>
        <row r="175">
          <cell r="H175">
            <v>1315</v>
          </cell>
          <cell r="P175">
            <v>861</v>
          </cell>
          <cell r="Q175">
            <v>6717</v>
          </cell>
        </row>
        <row r="176">
          <cell r="H176">
            <v>1314</v>
          </cell>
          <cell r="P176">
            <v>1419</v>
          </cell>
          <cell r="Q176">
            <v>8520</v>
          </cell>
        </row>
        <row r="177">
          <cell r="H177">
            <v>1144</v>
          </cell>
          <cell r="P177">
            <v>1178</v>
          </cell>
          <cell r="Q177">
            <v>6876</v>
          </cell>
        </row>
        <row r="178">
          <cell r="H178">
            <v>1526</v>
          </cell>
          <cell r="P178">
            <v>1347</v>
          </cell>
          <cell r="Q178">
            <v>8597</v>
          </cell>
        </row>
        <row r="179">
          <cell r="H179">
            <v>1416</v>
          </cell>
          <cell r="P179">
            <v>1192</v>
          </cell>
          <cell r="Q179">
            <v>6870</v>
          </cell>
        </row>
        <row r="180">
          <cell r="H180">
            <v>1538</v>
          </cell>
          <cell r="P180">
            <v>1477</v>
          </cell>
          <cell r="Q180">
            <v>9398</v>
          </cell>
        </row>
        <row r="181">
          <cell r="H181">
            <v>1592</v>
          </cell>
          <cell r="P181">
            <v>1313</v>
          </cell>
          <cell r="Q181">
            <v>7554</v>
          </cell>
        </row>
        <row r="182">
          <cell r="H182">
            <v>1122</v>
          </cell>
          <cell r="P182">
            <v>1501</v>
          </cell>
          <cell r="Q182">
            <v>9146</v>
          </cell>
        </row>
        <row r="183">
          <cell r="H183">
            <v>1750</v>
          </cell>
          <cell r="P183">
            <v>1381</v>
          </cell>
          <cell r="Q183">
            <v>7537</v>
          </cell>
        </row>
        <row r="184">
          <cell r="H184">
            <v>1402</v>
          </cell>
          <cell r="P184">
            <v>1350</v>
          </cell>
          <cell r="Q184">
            <v>8570</v>
          </cell>
        </row>
        <row r="185">
          <cell r="H185">
            <v>1500</v>
          </cell>
          <cell r="P185">
            <v>1291</v>
          </cell>
          <cell r="Q185">
            <v>7789</v>
          </cell>
        </row>
        <row r="186">
          <cell r="H186">
            <v>1711</v>
          </cell>
          <cell r="P186">
            <v>1514</v>
          </cell>
          <cell r="Q186">
            <v>10241</v>
          </cell>
        </row>
        <row r="187">
          <cell r="H187">
            <v>1305</v>
          </cell>
          <cell r="P187">
            <v>1168</v>
          </cell>
          <cell r="Q187">
            <v>7378</v>
          </cell>
        </row>
        <row r="188">
          <cell r="H188">
            <v>1633</v>
          </cell>
          <cell r="P188">
            <v>1472</v>
          </cell>
          <cell r="Q188">
            <v>9657</v>
          </cell>
        </row>
        <row r="189">
          <cell r="H189">
            <v>1316</v>
          </cell>
          <cell r="P189">
            <v>1175</v>
          </cell>
          <cell r="Q189">
            <v>7906</v>
          </cell>
        </row>
        <row r="190">
          <cell r="H190">
            <v>1547</v>
          </cell>
          <cell r="P190">
            <v>1448</v>
          </cell>
          <cell r="Q190">
            <v>8792</v>
          </cell>
        </row>
        <row r="191">
          <cell r="H191">
            <v>1597</v>
          </cell>
          <cell r="P191">
            <v>1324</v>
          </cell>
          <cell r="Q191">
            <v>7366</v>
          </cell>
        </row>
        <row r="192">
          <cell r="H192">
            <v>1549</v>
          </cell>
          <cell r="P192">
            <v>1693</v>
          </cell>
          <cell r="Q192">
            <v>9919</v>
          </cell>
        </row>
        <row r="193">
          <cell r="H193">
            <v>1646</v>
          </cell>
          <cell r="P193">
            <v>1210</v>
          </cell>
          <cell r="Q193">
            <v>7759</v>
          </cell>
        </row>
        <row r="194">
          <cell r="H194">
            <v>1238</v>
          </cell>
          <cell r="P194">
            <v>1356</v>
          </cell>
          <cell r="Q194">
            <v>9228</v>
          </cell>
        </row>
        <row r="195">
          <cell r="H195">
            <v>1402</v>
          </cell>
          <cell r="P195">
            <v>1248</v>
          </cell>
          <cell r="Q195">
            <v>7461</v>
          </cell>
        </row>
        <row r="196">
          <cell r="H196">
            <v>1607</v>
          </cell>
          <cell r="P196">
            <v>1442</v>
          </cell>
          <cell r="Q196">
            <v>9372</v>
          </cell>
        </row>
        <row r="197">
          <cell r="H197">
            <v>1450</v>
          </cell>
          <cell r="P197">
            <v>1174</v>
          </cell>
          <cell r="Q197">
            <v>7900</v>
          </cell>
        </row>
        <row r="198">
          <cell r="H198">
            <v>1515</v>
          </cell>
          <cell r="P198">
            <v>1579</v>
          </cell>
          <cell r="Q198">
            <v>10460</v>
          </cell>
        </row>
        <row r="199">
          <cell r="H199">
            <v>1650</v>
          </cell>
          <cell r="P199">
            <v>1201</v>
          </cell>
          <cell r="Q199">
            <v>7592</v>
          </cell>
        </row>
        <row r="200">
          <cell r="H200">
            <v>1443</v>
          </cell>
          <cell r="P200">
            <v>1439</v>
          </cell>
          <cell r="Q200">
            <v>9017</v>
          </cell>
        </row>
        <row r="201">
          <cell r="H201">
            <v>1343</v>
          </cell>
          <cell r="P201">
            <v>1211</v>
          </cell>
          <cell r="Q201">
            <v>7851</v>
          </cell>
        </row>
        <row r="202">
          <cell r="H202">
            <v>1504</v>
          </cell>
          <cell r="P202">
            <v>1591</v>
          </cell>
          <cell r="Q202">
            <v>8998</v>
          </cell>
        </row>
        <row r="203">
          <cell r="H203">
            <v>1644</v>
          </cell>
          <cell r="P203">
            <v>1076</v>
          </cell>
          <cell r="Q203">
            <v>7388</v>
          </cell>
        </row>
        <row r="204">
          <cell r="H204">
            <v>1852</v>
          </cell>
          <cell r="P204">
            <v>1666</v>
          </cell>
          <cell r="Q204">
            <v>10625</v>
          </cell>
        </row>
        <row r="205">
          <cell r="H205">
            <v>1533</v>
          </cell>
          <cell r="P205">
            <v>1425</v>
          </cell>
          <cell r="Q205">
            <v>8785</v>
          </cell>
        </row>
        <row r="206">
          <cell r="H206">
            <v>1132.5</v>
          </cell>
          <cell r="P206">
            <v>1466.5</v>
          </cell>
          <cell r="Q206">
            <v>9906</v>
          </cell>
        </row>
        <row r="207">
          <cell r="H207">
            <v>1530.5</v>
          </cell>
          <cell r="P207">
            <v>1314.5</v>
          </cell>
          <cell r="Q207">
            <v>8486</v>
          </cell>
        </row>
        <row r="208">
          <cell r="H208">
            <v>1317</v>
          </cell>
          <cell r="P208">
            <v>1504.5</v>
          </cell>
          <cell r="Q208">
            <v>8359.5</v>
          </cell>
        </row>
        <row r="209">
          <cell r="H209">
            <v>1174.5</v>
          </cell>
          <cell r="P209">
            <v>1278.5</v>
          </cell>
          <cell r="Q209">
            <v>7960</v>
          </cell>
        </row>
        <row r="210">
          <cell r="H210">
            <v>1681</v>
          </cell>
          <cell r="P210">
            <v>1515</v>
          </cell>
          <cell r="Q210">
            <v>10814</v>
          </cell>
        </row>
        <row r="211">
          <cell r="H211">
            <v>1334</v>
          </cell>
          <cell r="P211">
            <v>1118</v>
          </cell>
          <cell r="Q211">
            <v>8090</v>
          </cell>
        </row>
        <row r="212">
          <cell r="H212">
            <v>1473</v>
          </cell>
          <cell r="P212">
            <v>1542</v>
          </cell>
          <cell r="Q212">
            <v>10174</v>
          </cell>
        </row>
        <row r="213">
          <cell r="H213">
            <v>1656</v>
          </cell>
          <cell r="P213">
            <v>1194</v>
          </cell>
          <cell r="Q213">
            <v>8295</v>
          </cell>
        </row>
        <row r="214">
          <cell r="H214">
            <v>1554</v>
          </cell>
          <cell r="P214">
            <v>1693</v>
          </cell>
          <cell r="Q214">
            <v>10091</v>
          </cell>
        </row>
        <row r="215">
          <cell r="H215">
            <v>1487</v>
          </cell>
          <cell r="P215">
            <v>1380</v>
          </cell>
          <cell r="Q215">
            <v>9116</v>
          </cell>
        </row>
        <row r="216">
          <cell r="H216">
            <v>1653</v>
          </cell>
          <cell r="P216">
            <v>1626</v>
          </cell>
          <cell r="Q216">
            <v>11888</v>
          </cell>
        </row>
        <row r="217">
          <cell r="H217">
            <v>1528</v>
          </cell>
          <cell r="P217">
            <v>1365</v>
          </cell>
          <cell r="Q217">
            <v>8480</v>
          </cell>
        </row>
        <row r="218">
          <cell r="H218">
            <v>1384</v>
          </cell>
          <cell r="P218">
            <v>1574</v>
          </cell>
          <cell r="Q218">
            <v>11464</v>
          </cell>
        </row>
        <row r="219">
          <cell r="H219">
            <v>1398</v>
          </cell>
          <cell r="P219">
            <v>1323</v>
          </cell>
          <cell r="Q219">
            <v>7776</v>
          </cell>
        </row>
        <row r="220">
          <cell r="H220">
            <v>1220</v>
          </cell>
          <cell r="P220">
            <v>1528</v>
          </cell>
          <cell r="Q220">
            <v>10451</v>
          </cell>
        </row>
        <row r="221">
          <cell r="H221">
            <v>1314</v>
          </cell>
          <cell r="P221">
            <v>1279</v>
          </cell>
          <cell r="Q221">
            <v>7836</v>
          </cell>
        </row>
        <row r="222">
          <cell r="H222">
            <v>1655</v>
          </cell>
          <cell r="P222">
            <v>1714</v>
          </cell>
          <cell r="Q222">
            <v>12574</v>
          </cell>
        </row>
        <row r="223">
          <cell r="H223">
            <v>1528</v>
          </cell>
          <cell r="P223">
            <v>1127</v>
          </cell>
          <cell r="Q223">
            <v>8628</v>
          </cell>
        </row>
        <row r="224">
          <cell r="H224">
            <v>1547</v>
          </cell>
          <cell r="P224">
            <v>1528</v>
          </cell>
          <cell r="Q224">
            <v>10958</v>
          </cell>
        </row>
        <row r="225">
          <cell r="H225">
            <v>1512</v>
          </cell>
          <cell r="P225">
            <v>1288</v>
          </cell>
          <cell r="Q225">
            <v>8941</v>
          </cell>
        </row>
        <row r="226">
          <cell r="H226">
            <v>1701</v>
          </cell>
          <cell r="P226">
            <v>1598</v>
          </cell>
          <cell r="Q226">
            <v>11327</v>
          </cell>
        </row>
        <row r="227">
          <cell r="H227">
            <v>1532</v>
          </cell>
          <cell r="P227">
            <v>1382</v>
          </cell>
          <cell r="Q227">
            <v>8835</v>
          </cell>
        </row>
        <row r="228">
          <cell r="H228">
            <v>1635</v>
          </cell>
          <cell r="P228">
            <v>1583</v>
          </cell>
          <cell r="Q228">
            <v>10899</v>
          </cell>
        </row>
        <row r="229">
          <cell r="H229">
            <v>1754</v>
          </cell>
          <cell r="P229">
            <v>1413</v>
          </cell>
          <cell r="Q229">
            <v>9325</v>
          </cell>
        </row>
        <row r="230">
          <cell r="H230">
            <v>1547</v>
          </cell>
          <cell r="P230">
            <v>1582</v>
          </cell>
          <cell r="Q230">
            <v>11303</v>
          </cell>
        </row>
        <row r="231">
          <cell r="H231">
            <v>1655</v>
          </cell>
          <cell r="P231">
            <v>1320</v>
          </cell>
          <cell r="Q231">
            <v>9435</v>
          </cell>
        </row>
        <row r="232">
          <cell r="H232">
            <v>1380</v>
          </cell>
          <cell r="P232">
            <v>1685</v>
          </cell>
          <cell r="Q232">
            <v>10646</v>
          </cell>
        </row>
        <row r="233">
          <cell r="H233">
            <v>2806</v>
          </cell>
          <cell r="P233">
            <v>1214</v>
          </cell>
          <cell r="Q233">
            <v>10520</v>
          </cell>
        </row>
        <row r="234">
          <cell r="H234">
            <v>1318</v>
          </cell>
          <cell r="P234">
            <v>1620</v>
          </cell>
          <cell r="Q234">
            <v>12036</v>
          </cell>
        </row>
        <row r="235">
          <cell r="H235">
            <v>1346</v>
          </cell>
          <cell r="P235">
            <v>1182</v>
          </cell>
          <cell r="Q235">
            <v>8561</v>
          </cell>
        </row>
        <row r="236">
          <cell r="H236">
            <v>1878</v>
          </cell>
          <cell r="P236">
            <v>1584</v>
          </cell>
          <cell r="Q236">
            <v>11968</v>
          </cell>
        </row>
        <row r="237">
          <cell r="H237">
            <v>1390</v>
          </cell>
          <cell r="P237">
            <v>1437</v>
          </cell>
          <cell r="Q237">
            <v>9216</v>
          </cell>
        </row>
        <row r="238">
          <cell r="H238">
            <v>1770</v>
          </cell>
          <cell r="P238">
            <v>1808</v>
          </cell>
          <cell r="Q238">
            <v>11791</v>
          </cell>
        </row>
        <row r="239">
          <cell r="H239">
            <v>1751</v>
          </cell>
          <cell r="P239">
            <v>1275</v>
          </cell>
          <cell r="Q239">
            <v>9152</v>
          </cell>
        </row>
        <row r="240">
          <cell r="H240">
            <v>1824</v>
          </cell>
          <cell r="P240">
            <v>1777</v>
          </cell>
          <cell r="Q240">
            <v>12218</v>
          </cell>
        </row>
        <row r="241">
          <cell r="H241">
            <v>1937</v>
          </cell>
          <cell r="P241">
            <v>1514</v>
          </cell>
          <cell r="Q241">
            <v>10874</v>
          </cell>
        </row>
        <row r="242">
          <cell r="H242">
            <v>1238</v>
          </cell>
          <cell r="P242">
            <v>1653</v>
          </cell>
          <cell r="Q242">
            <v>11300</v>
          </cell>
        </row>
        <row r="243">
          <cell r="H243">
            <v>1692</v>
          </cell>
          <cell r="P243">
            <v>1300</v>
          </cell>
          <cell r="Q243">
            <v>9590</v>
          </cell>
        </row>
        <row r="244">
          <cell r="H244">
            <v>1450</v>
          </cell>
          <cell r="P244">
            <v>1649</v>
          </cell>
          <cell r="Q244">
            <v>10558</v>
          </cell>
        </row>
        <row r="245">
          <cell r="H245">
            <v>1776</v>
          </cell>
          <cell r="P245">
            <v>1296</v>
          </cell>
          <cell r="Q245">
            <v>8949</v>
          </cell>
        </row>
        <row r="246">
          <cell r="H246">
            <v>2190</v>
          </cell>
          <cell r="P246">
            <v>1714</v>
          </cell>
          <cell r="Q246">
            <v>13248</v>
          </cell>
        </row>
        <row r="247">
          <cell r="H247">
            <v>1628</v>
          </cell>
          <cell r="P247">
            <v>1204</v>
          </cell>
          <cell r="Q247">
            <v>8914</v>
          </cell>
        </row>
        <row r="248">
          <cell r="H248">
            <v>2043</v>
          </cell>
          <cell r="P248">
            <v>1643</v>
          </cell>
          <cell r="Q248">
            <v>11891</v>
          </cell>
        </row>
        <row r="249">
          <cell r="H249">
            <v>1646</v>
          </cell>
          <cell r="P249">
            <v>1257</v>
          </cell>
          <cell r="Q249">
            <v>8590</v>
          </cell>
        </row>
        <row r="250">
          <cell r="H250">
            <v>2268</v>
          </cell>
          <cell r="P250">
            <v>1792</v>
          </cell>
          <cell r="Q250">
            <v>13235</v>
          </cell>
        </row>
        <row r="251">
          <cell r="H251">
            <v>1835</v>
          </cell>
          <cell r="P251">
            <v>1542</v>
          </cell>
          <cell r="Q251">
            <v>9616</v>
          </cell>
        </row>
        <row r="252">
          <cell r="H252">
            <v>1899</v>
          </cell>
          <cell r="P252">
            <v>1673</v>
          </cell>
          <cell r="Q252">
            <v>12244</v>
          </cell>
        </row>
        <row r="253">
          <cell r="H253">
            <v>1948</v>
          </cell>
          <cell r="P253">
            <v>1641</v>
          </cell>
          <cell r="Q253">
            <v>10284</v>
          </cell>
        </row>
        <row r="254">
          <cell r="H254">
            <v>1983</v>
          </cell>
          <cell r="P254">
            <v>1522</v>
          </cell>
          <cell r="Q254">
            <v>12558</v>
          </cell>
        </row>
        <row r="255">
          <cell r="H255">
            <v>1236</v>
          </cell>
          <cell r="P255">
            <v>1554</v>
          </cell>
          <cell r="Q255">
            <v>9676</v>
          </cell>
        </row>
        <row r="256">
          <cell r="H256">
            <v>1681</v>
          </cell>
          <cell r="P256">
            <v>1481</v>
          </cell>
          <cell r="Q256">
            <v>11655</v>
          </cell>
        </row>
        <row r="257">
          <cell r="H257">
            <v>3494</v>
          </cell>
          <cell r="P257">
            <v>1558</v>
          </cell>
          <cell r="Q257">
            <v>10459</v>
          </cell>
        </row>
        <row r="258">
          <cell r="H258">
            <v>1376</v>
          </cell>
          <cell r="P258">
            <v>1502</v>
          </cell>
          <cell r="Q258">
            <v>12158</v>
          </cell>
        </row>
        <row r="259">
          <cell r="H259">
            <v>1280</v>
          </cell>
          <cell r="P259">
            <v>1437.0807453416148</v>
          </cell>
          <cell r="Q259">
            <v>9473.0807453416146</v>
          </cell>
        </row>
        <row r="260">
          <cell r="H260">
            <v>1878</v>
          </cell>
          <cell r="P260">
            <v>1655</v>
          </cell>
          <cell r="Q260">
            <v>11554</v>
          </cell>
        </row>
        <row r="261">
          <cell r="H261">
            <v>1541</v>
          </cell>
          <cell r="P261">
            <v>1572</v>
          </cell>
          <cell r="Q261">
            <v>10578</v>
          </cell>
        </row>
        <row r="262">
          <cell r="H262">
            <v>1833</v>
          </cell>
          <cell r="P262">
            <v>1510</v>
          </cell>
          <cell r="Q262">
            <v>11637</v>
          </cell>
        </row>
        <row r="263">
          <cell r="H263">
            <v>1529</v>
          </cell>
          <cell r="P263">
            <v>1751</v>
          </cell>
          <cell r="Q263">
            <v>8923</v>
          </cell>
        </row>
        <row r="264">
          <cell r="H264">
            <v>2013</v>
          </cell>
          <cell r="P264">
            <v>1812</v>
          </cell>
          <cell r="Q264">
            <v>13327</v>
          </cell>
        </row>
        <row r="265">
          <cell r="H265">
            <v>1717</v>
          </cell>
          <cell r="P265">
            <v>1744</v>
          </cell>
          <cell r="Q265">
            <v>10486</v>
          </cell>
        </row>
        <row r="266">
          <cell r="H266">
            <v>1391</v>
          </cell>
          <cell r="P266">
            <v>1584</v>
          </cell>
          <cell r="Q266">
            <v>12486</v>
          </cell>
        </row>
        <row r="267">
          <cell r="H267">
            <v>1471</v>
          </cell>
          <cell r="P267">
            <v>1693</v>
          </cell>
          <cell r="Q267">
            <v>9633</v>
          </cell>
        </row>
        <row r="268">
          <cell r="H268">
            <v>1480</v>
          </cell>
          <cell r="P268">
            <v>1713</v>
          </cell>
          <cell r="Q268">
            <v>11180</v>
          </cell>
        </row>
        <row r="269">
          <cell r="H269">
            <v>1658</v>
          </cell>
          <cell r="P269">
            <v>1629</v>
          </cell>
          <cell r="Q269">
            <v>10243</v>
          </cell>
        </row>
        <row r="270">
          <cell r="H270">
            <v>2006</v>
          </cell>
          <cell r="P270">
            <v>1493</v>
          </cell>
          <cell r="Q270">
            <v>13635</v>
          </cell>
        </row>
        <row r="271">
          <cell r="H271">
            <v>1986</v>
          </cell>
          <cell r="P271">
            <v>1347</v>
          </cell>
          <cell r="Q271">
            <v>10646</v>
          </cell>
        </row>
        <row r="272">
          <cell r="H272">
            <v>1923</v>
          </cell>
          <cell r="P272">
            <v>1653</v>
          </cell>
          <cell r="Q272">
            <v>11429</v>
          </cell>
        </row>
        <row r="273">
          <cell r="H273">
            <v>1512</v>
          </cell>
          <cell r="P273">
            <v>1587</v>
          </cell>
          <cell r="Q273">
            <v>10752</v>
          </cell>
        </row>
        <row r="274">
          <cell r="H274">
            <v>1677</v>
          </cell>
          <cell r="P274">
            <v>1583</v>
          </cell>
          <cell r="Q274">
            <v>12163</v>
          </cell>
        </row>
        <row r="275">
          <cell r="H275">
            <v>1633</v>
          </cell>
          <cell r="P275">
            <v>1611.2170542635658</v>
          </cell>
          <cell r="Q275">
            <v>10143.217054263565</v>
          </cell>
        </row>
        <row r="276">
          <cell r="H276">
            <v>1854</v>
          </cell>
          <cell r="P276">
            <v>1828</v>
          </cell>
          <cell r="Q276">
            <v>13103</v>
          </cell>
        </row>
        <row r="277">
          <cell r="H277">
            <v>1808</v>
          </cell>
          <cell r="P277">
            <v>1845</v>
          </cell>
          <cell r="Q277">
            <v>10827</v>
          </cell>
        </row>
        <row r="278">
          <cell r="H278">
            <v>1178</v>
          </cell>
          <cell r="P278">
            <v>1698</v>
          </cell>
          <cell r="Q278">
            <v>8194</v>
          </cell>
        </row>
        <row r="279">
          <cell r="H279">
            <v>1635</v>
          </cell>
          <cell r="P279">
            <v>1438</v>
          </cell>
          <cell r="Q279">
            <v>14245</v>
          </cell>
        </row>
        <row r="280">
          <cell r="H280">
            <v>1465</v>
          </cell>
          <cell r="P280">
            <v>1535</v>
          </cell>
          <cell r="Q280">
            <v>11505</v>
          </cell>
        </row>
        <row r="281">
          <cell r="H281">
            <v>1597</v>
          </cell>
          <cell r="P281">
            <v>1605</v>
          </cell>
          <cell r="Q281">
            <v>10731</v>
          </cell>
        </row>
        <row r="282">
          <cell r="H282">
            <v>1671</v>
          </cell>
          <cell r="P282">
            <v>1517</v>
          </cell>
          <cell r="Q282">
            <v>13556</v>
          </cell>
        </row>
        <row r="283">
          <cell r="H283">
            <v>1628</v>
          </cell>
          <cell r="P283">
            <v>1406</v>
          </cell>
          <cell r="Q283">
            <v>10122</v>
          </cell>
        </row>
        <row r="284">
          <cell r="H284">
            <v>3118</v>
          </cell>
          <cell r="P284">
            <v>1731</v>
          </cell>
          <cell r="Q284">
            <v>14366</v>
          </cell>
        </row>
        <row r="285">
          <cell r="H285">
            <v>1242</v>
          </cell>
          <cell r="P285">
            <v>1582</v>
          </cell>
          <cell r="Q285">
            <v>8783</v>
          </cell>
        </row>
        <row r="286">
          <cell r="H286">
            <v>1336</v>
          </cell>
          <cell r="P286">
            <v>1734</v>
          </cell>
          <cell r="Q286">
            <v>13162</v>
          </cell>
        </row>
        <row r="287">
          <cell r="H287">
            <v>1363</v>
          </cell>
          <cell r="P287">
            <v>1700</v>
          </cell>
          <cell r="Q287">
            <v>9913</v>
          </cell>
        </row>
        <row r="288">
          <cell r="H288">
            <v>1608</v>
          </cell>
          <cell r="P288">
            <v>1855</v>
          </cell>
          <cell r="Q288">
            <v>14053</v>
          </cell>
        </row>
        <row r="289">
          <cell r="H289">
            <v>1506</v>
          </cell>
          <cell r="P289">
            <v>1757</v>
          </cell>
          <cell r="Q289">
            <v>10082</v>
          </cell>
        </row>
        <row r="290">
          <cell r="H290">
            <v>1606</v>
          </cell>
          <cell r="P290">
            <v>1819</v>
          </cell>
          <cell r="Q290">
            <v>13211</v>
          </cell>
        </row>
        <row r="291">
          <cell r="H291">
            <v>1463</v>
          </cell>
          <cell r="P291">
            <v>1464</v>
          </cell>
          <cell r="Q291">
            <v>9507</v>
          </cell>
        </row>
        <row r="292">
          <cell r="H292">
            <v>1387</v>
          </cell>
          <cell r="P292">
            <v>1589</v>
          </cell>
          <cell r="Q292">
            <v>12973</v>
          </cell>
        </row>
        <row r="293">
          <cell r="H293">
            <v>2887</v>
          </cell>
          <cell r="P293">
            <v>1642</v>
          </cell>
          <cell r="Q293">
            <v>11701</v>
          </cell>
        </row>
        <row r="294">
          <cell r="H294">
            <v>1612</v>
          </cell>
          <cell r="P294">
            <v>1575</v>
          </cell>
          <cell r="Q294">
            <v>14315</v>
          </cell>
        </row>
        <row r="295">
          <cell r="H295">
            <v>1547</v>
          </cell>
          <cell r="P295">
            <v>1418</v>
          </cell>
          <cell r="Q295">
            <v>10046</v>
          </cell>
        </row>
        <row r="296">
          <cell r="H296">
            <v>2234</v>
          </cell>
          <cell r="P296">
            <v>1509</v>
          </cell>
          <cell r="Q296">
            <v>10346</v>
          </cell>
        </row>
        <row r="297">
          <cell r="H297">
            <v>797</v>
          </cell>
          <cell r="P297">
            <v>715</v>
          </cell>
          <cell r="Q297">
            <v>8596</v>
          </cell>
        </row>
        <row r="298">
          <cell r="H298">
            <v>1192</v>
          </cell>
          <cell r="P298">
            <v>1374</v>
          </cell>
          <cell r="Q298">
            <v>10148</v>
          </cell>
        </row>
        <row r="299">
          <cell r="H299">
            <v>1736</v>
          </cell>
          <cell r="P299">
            <v>1530</v>
          </cell>
          <cell r="Q299">
            <v>10042</v>
          </cell>
        </row>
        <row r="300">
          <cell r="H300">
            <v>1661</v>
          </cell>
          <cell r="P300">
            <v>1683</v>
          </cell>
          <cell r="Q300">
            <v>12440</v>
          </cell>
        </row>
        <row r="301">
          <cell r="H301">
            <v>1650</v>
          </cell>
          <cell r="P301">
            <v>1743</v>
          </cell>
          <cell r="Q301">
            <v>11912</v>
          </cell>
        </row>
        <row r="302">
          <cell r="H302">
            <v>2106</v>
          </cell>
          <cell r="P302">
            <v>1640</v>
          </cell>
          <cell r="Q302">
            <v>13419</v>
          </cell>
        </row>
        <row r="303">
          <cell r="H303">
            <v>1407</v>
          </cell>
          <cell r="P303">
            <v>1096</v>
          </cell>
          <cell r="Q303">
            <v>10134</v>
          </cell>
        </row>
        <row r="304">
          <cell r="H304">
            <v>1627</v>
          </cell>
          <cell r="P304">
            <v>1523</v>
          </cell>
          <cell r="Q304">
            <v>11901</v>
          </cell>
        </row>
        <row r="305">
          <cell r="H305">
            <v>3492</v>
          </cell>
          <cell r="P305">
            <v>1518</v>
          </cell>
          <cell r="Q305">
            <v>13894</v>
          </cell>
        </row>
        <row r="306">
          <cell r="H306">
            <v>1775</v>
          </cell>
          <cell r="P306">
            <v>1275</v>
          </cell>
          <cell r="Q306">
            <v>13759</v>
          </cell>
        </row>
        <row r="307">
          <cell r="H307">
            <v>1633</v>
          </cell>
          <cell r="P307">
            <v>1159</v>
          </cell>
          <cell r="Q307">
            <v>10596</v>
          </cell>
        </row>
        <row r="308">
          <cell r="H308">
            <v>2107</v>
          </cell>
          <cell r="P308">
            <v>1531</v>
          </cell>
          <cell r="Q308">
            <v>12341</v>
          </cell>
        </row>
        <row r="309">
          <cell r="H309">
            <v>1903</v>
          </cell>
          <cell r="P309">
            <v>1599</v>
          </cell>
          <cell r="Q309">
            <v>13381</v>
          </cell>
        </row>
        <row r="310">
          <cell r="H310">
            <v>2103</v>
          </cell>
          <cell r="P310">
            <v>1532</v>
          </cell>
          <cell r="Q310">
            <v>13970</v>
          </cell>
        </row>
        <row r="311">
          <cell r="H311">
            <v>2429</v>
          </cell>
          <cell r="P311">
            <v>1734</v>
          </cell>
          <cell r="Q311">
            <v>12125</v>
          </cell>
        </row>
        <row r="312">
          <cell r="H312">
            <v>2002</v>
          </cell>
          <cell r="P312">
            <v>1693</v>
          </cell>
          <cell r="Q312">
            <v>15407</v>
          </cell>
        </row>
        <row r="313">
          <cell r="H313">
            <v>2240</v>
          </cell>
          <cell r="P313">
            <v>1925</v>
          </cell>
          <cell r="Q313">
            <v>13939</v>
          </cell>
        </row>
        <row r="314">
          <cell r="H314">
            <v>1505</v>
          </cell>
          <cell r="P314">
            <v>1684</v>
          </cell>
          <cell r="Q314">
            <v>7861</v>
          </cell>
        </row>
        <row r="315">
          <cell r="H315">
            <v>1789</v>
          </cell>
          <cell r="P315">
            <v>1685</v>
          </cell>
          <cell r="Q315">
            <v>18433</v>
          </cell>
        </row>
        <row r="316">
          <cell r="H316">
            <v>2158</v>
          </cell>
          <cell r="P316">
            <v>1525</v>
          </cell>
          <cell r="Q316">
            <v>16095</v>
          </cell>
        </row>
        <row r="317">
          <cell r="H317">
            <v>2018</v>
          </cell>
          <cell r="P317">
            <v>1741</v>
          </cell>
          <cell r="Q317">
            <v>12310</v>
          </cell>
        </row>
        <row r="318">
          <cell r="H318">
            <v>2254</v>
          </cell>
          <cell r="P318">
            <v>1535</v>
          </cell>
          <cell r="Q318">
            <v>17666</v>
          </cell>
        </row>
        <row r="319">
          <cell r="H319">
            <v>2007</v>
          </cell>
          <cell r="P319">
            <v>1576</v>
          </cell>
          <cell r="Q319">
            <v>12872</v>
          </cell>
        </row>
        <row r="320">
          <cell r="H320">
            <v>2208</v>
          </cell>
          <cell r="P320">
            <v>1895</v>
          </cell>
          <cell r="Q320">
            <v>15648</v>
          </cell>
        </row>
        <row r="321">
          <cell r="H321">
            <v>2159</v>
          </cell>
          <cell r="P321">
            <v>1814</v>
          </cell>
          <cell r="Q321">
            <v>14196</v>
          </cell>
        </row>
        <row r="322">
          <cell r="H322">
            <v>1996</v>
          </cell>
          <cell r="P322">
            <v>1598</v>
          </cell>
          <cell r="Q322">
            <v>15202</v>
          </cell>
        </row>
        <row r="323">
          <cell r="H323">
            <v>2099</v>
          </cell>
          <cell r="P323">
            <v>1800</v>
          </cell>
          <cell r="Q323">
            <v>12591</v>
          </cell>
        </row>
        <row r="324">
          <cell r="H324">
            <v>2026</v>
          </cell>
          <cell r="P324">
            <v>1831</v>
          </cell>
          <cell r="Q324">
            <v>16346</v>
          </cell>
        </row>
        <row r="325">
          <cell r="H325">
            <v>1898</v>
          </cell>
          <cell r="P325">
            <v>1636</v>
          </cell>
          <cell r="Q325">
            <v>12830</v>
          </cell>
        </row>
        <row r="326">
          <cell r="H326">
            <v>1666</v>
          </cell>
          <cell r="P326">
            <v>1697</v>
          </cell>
          <cell r="Q326">
            <v>14861</v>
          </cell>
        </row>
        <row r="327">
          <cell r="H327">
            <v>1779</v>
          </cell>
          <cell r="P327">
            <v>1580</v>
          </cell>
          <cell r="Q327">
            <v>13061</v>
          </cell>
        </row>
        <row r="328">
          <cell r="H328">
            <v>2073</v>
          </cell>
          <cell r="P328">
            <v>1518</v>
          </cell>
          <cell r="Q328">
            <v>14001</v>
          </cell>
        </row>
        <row r="329">
          <cell r="H329">
            <v>3463</v>
          </cell>
          <cell r="P329">
            <v>1718</v>
          </cell>
          <cell r="Q329">
            <v>15105</v>
          </cell>
        </row>
        <row r="330">
          <cell r="H330">
            <v>1799</v>
          </cell>
          <cell r="P330">
            <v>1949</v>
          </cell>
          <cell r="Q330">
            <v>16596</v>
          </cell>
        </row>
        <row r="331">
          <cell r="H331">
            <v>2403</v>
          </cell>
          <cell r="P331">
            <v>1683</v>
          </cell>
          <cell r="Q331">
            <v>13166</v>
          </cell>
        </row>
        <row r="332">
          <cell r="H332">
            <v>2470</v>
          </cell>
          <cell r="P332">
            <v>1995</v>
          </cell>
          <cell r="Q332">
            <v>14256</v>
          </cell>
        </row>
        <row r="333">
          <cell r="H333">
            <v>1742</v>
          </cell>
          <cell r="P333">
            <v>1731</v>
          </cell>
          <cell r="Q333">
            <v>14230</v>
          </cell>
        </row>
        <row r="334">
          <cell r="H334">
            <v>2482</v>
          </cell>
          <cell r="P334">
            <v>1790</v>
          </cell>
          <cell r="Q334">
            <v>14207</v>
          </cell>
        </row>
        <row r="335">
          <cell r="H335">
            <v>1956</v>
          </cell>
          <cell r="P335">
            <v>2055</v>
          </cell>
          <cell r="Q335">
            <v>12431</v>
          </cell>
        </row>
        <row r="336">
          <cell r="H336">
            <v>2232</v>
          </cell>
          <cell r="P336">
            <v>1988</v>
          </cell>
          <cell r="Q336">
            <v>16045</v>
          </cell>
        </row>
        <row r="337">
          <cell r="H337">
            <v>1937</v>
          </cell>
          <cell r="P337">
            <v>1948</v>
          </cell>
          <cell r="Q337">
            <v>13284</v>
          </cell>
        </row>
        <row r="338">
          <cell r="H338">
            <v>1442</v>
          </cell>
          <cell r="P338">
            <v>1710</v>
          </cell>
          <cell r="Q338">
            <v>13652</v>
          </cell>
        </row>
        <row r="339">
          <cell r="H339">
            <v>1912</v>
          </cell>
          <cell r="P339">
            <v>1478</v>
          </cell>
          <cell r="Q339">
            <v>12185</v>
          </cell>
        </row>
        <row r="340">
          <cell r="H340">
            <v>1254</v>
          </cell>
          <cell r="P340">
            <v>1460</v>
          </cell>
          <cell r="Q340">
            <v>12601</v>
          </cell>
        </row>
        <row r="341">
          <cell r="H341">
            <v>3302</v>
          </cell>
          <cell r="P341">
            <v>1800</v>
          </cell>
          <cell r="Q341">
            <v>13942</v>
          </cell>
        </row>
        <row r="342">
          <cell r="H342">
            <v>1746</v>
          </cell>
          <cell r="P342">
            <v>1930</v>
          </cell>
          <cell r="Q342">
            <v>16618</v>
          </cell>
        </row>
        <row r="343">
          <cell r="H343">
            <v>1756</v>
          </cell>
          <cell r="P343">
            <v>1880</v>
          </cell>
          <cell r="Q343">
            <v>14302</v>
          </cell>
        </row>
        <row r="344">
          <cell r="H344">
            <v>1829</v>
          </cell>
          <cell r="P344">
            <v>2115</v>
          </cell>
          <cell r="Q344">
            <v>15217</v>
          </cell>
        </row>
        <row r="345">
          <cell r="H345">
            <v>1812</v>
          </cell>
          <cell r="P345">
            <v>1927</v>
          </cell>
          <cell r="Q345">
            <v>8669</v>
          </cell>
        </row>
        <row r="346">
          <cell r="H346">
            <v>2263</v>
          </cell>
          <cell r="P346">
            <v>1996</v>
          </cell>
          <cell r="Q346">
            <v>21248</v>
          </cell>
        </row>
        <row r="347">
          <cell r="H347">
            <v>2047</v>
          </cell>
          <cell r="P347">
            <v>2113</v>
          </cell>
          <cell r="Q347">
            <v>14467</v>
          </cell>
        </row>
        <row r="348">
          <cell r="H348">
            <v>2328</v>
          </cell>
          <cell r="P348">
            <v>2233</v>
          </cell>
          <cell r="Q348">
            <v>16988</v>
          </cell>
        </row>
        <row r="349">
          <cell r="H349">
            <v>2278</v>
          </cell>
          <cell r="P349">
            <v>2181</v>
          </cell>
          <cell r="Q349">
            <v>14617</v>
          </cell>
        </row>
        <row r="350">
          <cell r="H350">
            <v>2115</v>
          </cell>
          <cell r="P350">
            <v>2297</v>
          </cell>
          <cell r="Q350">
            <v>17797</v>
          </cell>
        </row>
        <row r="351">
          <cell r="H351">
            <v>1914</v>
          </cell>
          <cell r="P351">
            <v>2017</v>
          </cell>
          <cell r="Q351">
            <v>15597</v>
          </cell>
        </row>
        <row r="352">
          <cell r="H352">
            <v>2121</v>
          </cell>
          <cell r="P352">
            <v>1785</v>
          </cell>
          <cell r="Q352">
            <v>14965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onthly change"/>
      <sheetName val="quarterly"/>
      <sheetName val="quarterly change"/>
      <sheetName val="yearly"/>
      <sheetName val="yearly change"/>
      <sheetName val="המרת נתוני משרות שכיר"/>
      <sheetName val="המרת נתוני שכר מקורי"/>
      <sheetName val="המרת נתוני שכר מנוכה"/>
      <sheetName val="quarterly old"/>
    </sheetNames>
    <sheetDataSet>
      <sheetData sheetId="0">
        <row r="306">
          <cell r="AY306">
            <v>5.7214457150924748E-2</v>
          </cell>
          <cell r="AZ306">
            <v>0.77910078372061042</v>
          </cell>
          <cell r="BA306">
            <v>0.73452495531417572</v>
          </cell>
        </row>
        <row r="307">
          <cell r="AY307">
            <v>5.9804404418490116E-2</v>
          </cell>
          <cell r="AZ307">
            <v>0.78078391518114654</v>
          </cell>
          <cell r="BA307">
            <v>0.73408959815420116</v>
          </cell>
        </row>
        <row r="308">
          <cell r="AY308">
            <v>6.038630499965135E-2</v>
          </cell>
          <cell r="AZ308">
            <v>0.78572211264518954</v>
          </cell>
          <cell r="BA308">
            <v>0.73827525750602674</v>
          </cell>
        </row>
        <row r="309">
          <cell r="AY309">
            <v>5.9438731044099705E-2</v>
          </cell>
          <cell r="AZ309">
            <v>0.78601961966350631</v>
          </cell>
          <cell r="BA309">
            <v>0.73927220913026803</v>
          </cell>
        </row>
        <row r="310">
          <cell r="AY310">
            <v>6.1380985426786952E-2</v>
          </cell>
          <cell r="AZ310">
            <v>0.78792683927057994</v>
          </cell>
          <cell r="BA310">
            <v>0.73956311343193815</v>
          </cell>
        </row>
        <row r="311">
          <cell r="AY311">
            <v>5.9676693551178647E-2</v>
          </cell>
          <cell r="AZ311">
            <v>0.78970531955606593</v>
          </cell>
          <cell r="BA311">
            <v>0.74257831720518286</v>
          </cell>
        </row>
        <row r="312">
          <cell r="AY312">
            <v>5.8187632521116479E-2</v>
          </cell>
          <cell r="AZ312">
            <v>0.7873074081169098</v>
          </cell>
          <cell r="BA312">
            <v>0.74149585397225037</v>
          </cell>
        </row>
        <row r="313">
          <cell r="AY313">
            <v>5.6871057801675111E-2</v>
          </cell>
          <cell r="AZ313">
            <v>0.79474606913931967</v>
          </cell>
          <cell r="BA313">
            <v>0.74954801950364336</v>
          </cell>
        </row>
        <row r="314">
          <cell r="AY314">
            <v>5.8424007207706699E-2</v>
          </cell>
          <cell r="AZ314">
            <v>0.78844840304909714</v>
          </cell>
          <cell r="BA314">
            <v>0.74238408786645171</v>
          </cell>
        </row>
        <row r="315">
          <cell r="AY315">
            <v>6.0538116591928252E-2</v>
          </cell>
          <cell r="AZ315">
            <v>0.7898752111601548</v>
          </cell>
          <cell r="BA315">
            <v>0.74205765353386743</v>
          </cell>
        </row>
        <row r="316">
          <cell r="AY316">
            <v>5.8241986957125014E-2</v>
          </cell>
          <cell r="AZ316">
            <v>0.78578242974350598</v>
          </cell>
          <cell r="BA316">
            <v>0.73998964210755858</v>
          </cell>
        </row>
        <row r="317">
          <cell r="AY317">
            <v>5.7058619493583075E-2</v>
          </cell>
          <cell r="AZ317">
            <v>0.78357296224825368</v>
          </cell>
          <cell r="BA317">
            <v>0.73886337074987085</v>
          </cell>
        </row>
        <row r="318">
          <cell r="AY318">
            <v>5.6300453868274258E-2</v>
          </cell>
          <cell r="AZ318">
            <v>0.7866721177432543</v>
          </cell>
          <cell r="BA318">
            <v>0.74240937585173072</v>
          </cell>
        </row>
        <row r="319">
          <cell r="AY319">
            <v>5.8582590438164724E-2</v>
          </cell>
          <cell r="AZ319">
            <v>0.79081604877783218</v>
          </cell>
          <cell r="BA319">
            <v>0.74451521585279534</v>
          </cell>
        </row>
        <row r="320">
          <cell r="AY320">
            <v>5.6816618516989957E-2</v>
          </cell>
          <cell r="AZ320">
            <v>0.78903663500678423</v>
          </cell>
          <cell r="BA320">
            <v>0.74420624151967441</v>
          </cell>
        </row>
        <row r="321">
          <cell r="AY321">
            <v>5.7731747333880236E-2</v>
          </cell>
          <cell r="AZ321">
            <v>0.79325397901358419</v>
          </cell>
          <cell r="BA321">
            <v>0.74745804072557687</v>
          </cell>
        </row>
        <row r="322">
          <cell r="AY322">
            <v>5.6769916088262713E-2</v>
          </cell>
          <cell r="AZ322">
            <v>0.78564839934888775</v>
          </cell>
          <cell r="BA322">
            <v>0.74102007596310371</v>
          </cell>
        </row>
        <row r="323">
          <cell r="AY323">
            <v>5.5162707675408484E-2</v>
          </cell>
          <cell r="AZ323">
            <v>0.78784109040755068</v>
          </cell>
          <cell r="BA323">
            <v>0.7444086864807854</v>
          </cell>
        </row>
        <row r="324">
          <cell r="AY324">
            <v>5.4518781344887593E-2</v>
          </cell>
          <cell r="AZ324">
            <v>0.79026691830682128</v>
          </cell>
          <cell r="BA324">
            <v>0.74718252898355353</v>
          </cell>
        </row>
        <row r="325">
          <cell r="AY325">
            <v>5.24463577969113E-2</v>
          </cell>
          <cell r="AZ325">
            <v>0.78711273666092951</v>
          </cell>
          <cell r="BA325">
            <v>0.74583154044750433</v>
          </cell>
        </row>
        <row r="326">
          <cell r="AY326">
            <v>5.0629037742264536E-2</v>
          </cell>
          <cell r="AZ326">
            <v>0.78807041989335191</v>
          </cell>
          <cell r="BA326">
            <v>0.74817117286100909</v>
          </cell>
        </row>
        <row r="327">
          <cell r="AY327">
            <v>4.9617151607963247E-2</v>
          </cell>
          <cell r="AZ327">
            <v>0.78921924099589069</v>
          </cell>
          <cell r="BA327">
            <v>0.75006043026347591</v>
          </cell>
        </row>
        <row r="328">
          <cell r="AY328">
            <v>5.1643351894608176E-2</v>
          </cell>
          <cell r="AZ328">
            <v>0.78841417710675654</v>
          </cell>
          <cell r="BA328">
            <v>0.74772459578113282</v>
          </cell>
        </row>
        <row r="329">
          <cell r="AY329">
            <v>5.0791601549228779E-2</v>
          </cell>
          <cell r="AZ329">
            <v>0.78501133484464602</v>
          </cell>
          <cell r="BA329">
            <v>0.7451660221362848</v>
          </cell>
        </row>
        <row r="330">
          <cell r="AY330">
            <v>5.3006143207224146E-2</v>
          </cell>
          <cell r="AZ330">
            <v>0.79424625393270409</v>
          </cell>
          <cell r="BA330">
            <v>0.7521729856556284</v>
          </cell>
        </row>
        <row r="331">
          <cell r="AY331">
            <v>4.9475061214906246E-2</v>
          </cell>
          <cell r="AZ331">
            <v>0.79752287197046712</v>
          </cell>
          <cell r="BA331">
            <v>0.75809212990209196</v>
          </cell>
        </row>
        <row r="332">
          <cell r="AY332">
            <v>5.0090343304557312E-2</v>
          </cell>
          <cell r="AZ332">
            <v>0.79770452422260774</v>
          </cell>
          <cell r="BA332">
            <v>0.75774723074869876</v>
          </cell>
        </row>
        <row r="333">
          <cell r="AY333">
            <v>5.1992371775569611E-2</v>
          </cell>
          <cell r="AZ333">
            <v>0.79568203599190712</v>
          </cell>
          <cell r="BA333">
            <v>0.75431263976147378</v>
          </cell>
        </row>
        <row r="334">
          <cell r="AY334">
            <v>5.1953656674302025E-2</v>
          </cell>
          <cell r="AZ334">
            <v>0.79766444232602485</v>
          </cell>
          <cell r="BA334">
            <v>0.75622285774811993</v>
          </cell>
        </row>
        <row r="335">
          <cell r="AY335">
            <v>4.9903197810267703E-2</v>
          </cell>
          <cell r="AZ335">
            <v>0.79295923769190058</v>
          </cell>
          <cell r="BA335">
            <v>0.753414505029116</v>
          </cell>
        </row>
        <row r="336">
          <cell r="AY336">
            <v>5.0541636206552797E-2</v>
          </cell>
          <cell r="AZ336">
            <v>0.79347166925936674</v>
          </cell>
          <cell r="BA336">
            <v>0.75334194637065943</v>
          </cell>
        </row>
        <row r="337">
          <cell r="AY337">
            <v>5.1175056749899861E-2</v>
          </cell>
          <cell r="AZ337">
            <v>0.79183738204118315</v>
          </cell>
          <cell r="BA337">
            <v>0.75134149242684578</v>
          </cell>
        </row>
        <row r="338">
          <cell r="AY338">
            <v>5.0931924648659428E-2</v>
          </cell>
          <cell r="AZ338">
            <v>0.79622771281942761</v>
          </cell>
          <cell r="BA338">
            <v>0.75570075657372626</v>
          </cell>
        </row>
        <row r="339">
          <cell r="AY339">
            <v>4.7104117843990621E-2</v>
          </cell>
          <cell r="AZ339">
            <v>0.78868851160457309</v>
          </cell>
          <cell r="BA339">
            <v>0.75153803501174976</v>
          </cell>
        </row>
        <row r="340">
          <cell r="AY340">
            <v>4.8359354326541412E-2</v>
          </cell>
          <cell r="AZ340">
            <v>0.79738355224982849</v>
          </cell>
          <cell r="BA340">
            <v>0.75882259851242284</v>
          </cell>
        </row>
        <row r="341">
          <cell r="AY341">
            <v>4.9778980009236654E-2</v>
          </cell>
          <cell r="AZ341">
            <v>0.79777883046476128</v>
          </cell>
          <cell r="BA341">
            <v>0.75806621401126373</v>
          </cell>
        </row>
        <row r="342">
          <cell r="AY342">
            <v>4.9064421717254753E-2</v>
          </cell>
          <cell r="AZ342">
            <v>0.79734123446431382</v>
          </cell>
          <cell r="BA342">
            <v>0.75822014788400016</v>
          </cell>
        </row>
        <row r="343">
          <cell r="AY343">
            <v>4.6627672581871053E-2</v>
          </cell>
          <cell r="AZ343">
            <v>0.79456478928712093</v>
          </cell>
          <cell r="BA343">
            <v>0.75751608244715762</v>
          </cell>
        </row>
        <row r="344">
          <cell r="AY344">
            <v>4.6112653708845701E-2</v>
          </cell>
          <cell r="AZ344">
            <v>0.7985639996832351</v>
          </cell>
          <cell r="BA344">
            <v>0.76174009450149138</v>
          </cell>
        </row>
        <row r="345">
          <cell r="AY345">
            <v>4.302954365602743E-2</v>
          </cell>
          <cell r="AZ345">
            <v>0.79753859100113089</v>
          </cell>
          <cell r="BA345">
            <v>0.76322086938228106</v>
          </cell>
        </row>
        <row r="346">
          <cell r="AY346">
            <v>4.4447366690775189E-2</v>
          </cell>
          <cell r="AZ346">
            <v>0.79692944536141896</v>
          </cell>
          <cell r="BA346">
            <v>0.76153422934842407</v>
          </cell>
        </row>
        <row r="347">
          <cell r="AY347">
            <v>4.4838202541595706E-2</v>
          </cell>
          <cell r="AZ347">
            <v>0.80033552648824335</v>
          </cell>
          <cell r="BA347">
            <v>0.76444992005032897</v>
          </cell>
        </row>
        <row r="348">
          <cell r="AY348">
            <v>4.638279739076278E-2</v>
          </cell>
          <cell r="AZ348">
            <v>0.7988216810683425</v>
          </cell>
          <cell r="BA348">
            <v>0.76174391201885305</v>
          </cell>
        </row>
        <row r="349">
          <cell r="AY349">
            <v>4.3912760416666669E-2</v>
          </cell>
          <cell r="AZ349">
            <v>0.80070896105927125</v>
          </cell>
          <cell r="BA349">
            <v>0.76554762028879741</v>
          </cell>
        </row>
        <row r="350">
          <cell r="AY350">
            <v>4.4775147350939459E-2</v>
          </cell>
          <cell r="AZ350">
            <v>0.80121582133166347</v>
          </cell>
          <cell r="BA350">
            <v>0.76534126487163434</v>
          </cell>
        </row>
        <row r="351">
          <cell r="AY351">
            <v>4.5364571502742E-2</v>
          </cell>
          <cell r="AZ351">
            <v>0.80110741395445562</v>
          </cell>
          <cell r="BA351">
            <v>0.76479151502547571</v>
          </cell>
        </row>
        <row r="352">
          <cell r="AY352">
            <v>4.4138291273546404E-2</v>
          </cell>
          <cell r="AZ352">
            <v>0.7944342142801567</v>
          </cell>
          <cell r="BA352">
            <v>0.75934330990481635</v>
          </cell>
        </row>
        <row r="353">
          <cell r="AY353">
            <v>4.5010863572980515E-2</v>
          </cell>
          <cell r="AZ353">
            <v>0.79869978502421712</v>
          </cell>
          <cell r="BA353">
            <v>0.76274961796472329</v>
          </cell>
        </row>
        <row r="354">
          <cell r="AY354">
            <v>4.5386517438833943E-2</v>
          </cell>
          <cell r="AZ354">
            <v>0.79501306225912416</v>
          </cell>
          <cell r="BA354">
            <v>0.75893018804479961</v>
          </cell>
        </row>
        <row r="355">
          <cell r="AY355">
            <v>4.5430877375683409E-2</v>
          </cell>
          <cell r="AZ355">
            <v>0.79433357460448772</v>
          </cell>
          <cell r="BA355">
            <v>0.75824630338124288</v>
          </cell>
        </row>
        <row r="356">
          <cell r="AY356">
            <v>4.559743332145056E-2</v>
          </cell>
          <cell r="AZ356">
            <v>0.79851460807908281</v>
          </cell>
          <cell r="BA356">
            <v>0.76210439148099263</v>
          </cell>
        </row>
        <row r="357">
          <cell r="AY357">
            <v>4.3377151900778406E-2</v>
          </cell>
          <cell r="AZ357">
            <v>0.80097790655559575</v>
          </cell>
          <cell r="BA357">
            <v>0.76623376623376627</v>
          </cell>
        </row>
        <row r="358">
          <cell r="AY358">
            <v>4.0206051966565154E-2</v>
          </cell>
          <cell r="AZ358">
            <v>0.80005184033177812</v>
          </cell>
          <cell r="BA358">
            <v>0.76788491446345253</v>
          </cell>
        </row>
        <row r="359">
          <cell r="AY359">
            <v>3.7671896184388917E-2</v>
          </cell>
          <cell r="AZ359">
            <v>0.79864906672166647</v>
          </cell>
          <cell r="BA359">
            <v>0.76856244199236867</v>
          </cell>
        </row>
        <row r="360">
          <cell r="AY360">
            <v>3.9950022425834564E-2</v>
          </cell>
          <cell r="AZ360">
            <v>0.80245770990796439</v>
          </cell>
          <cell r="BA360">
            <v>0.77039950640135735</v>
          </cell>
        </row>
        <row r="361">
          <cell r="AY361">
            <v>4.1441152922337875E-2</v>
          </cell>
          <cell r="AZ361">
            <v>0.80193646146338959</v>
          </cell>
          <cell r="BA361">
            <v>0.76870328992988679</v>
          </cell>
        </row>
        <row r="362">
          <cell r="AY362">
            <v>4.2860358187839627E-2</v>
          </cell>
          <cell r="AZ362">
            <v>0.79947046424348367</v>
          </cell>
          <cell r="BA362">
            <v>0.76520487378540958</v>
          </cell>
        </row>
        <row r="363">
          <cell r="AY363">
            <v>3.9480003842336138E-2</v>
          </cell>
          <cell r="AZ363">
            <v>0.79891026296940548</v>
          </cell>
          <cell r="BA363">
            <v>0.76736928271769167</v>
          </cell>
        </row>
        <row r="364">
          <cell r="AY364">
            <v>3.9037690457097034E-2</v>
          </cell>
          <cell r="AZ364">
            <v>0.79892878193793082</v>
          </cell>
          <cell r="BA364">
            <v>0.76774044745137238</v>
          </cell>
        </row>
        <row r="365">
          <cell r="AY365">
            <v>3.8742315573770496E-2</v>
          </cell>
          <cell r="AZ365">
            <v>0.80030749519538757</v>
          </cell>
          <cell r="BA365">
            <v>0.76930172966047405</v>
          </cell>
        </row>
        <row r="366">
          <cell r="AY366">
            <v>3.8781517982849102E-2</v>
          </cell>
          <cell r="AZ366">
            <v>0.79909995141783219</v>
          </cell>
          <cell r="BA366">
            <v>0.76810964228182765</v>
          </cell>
        </row>
        <row r="367">
          <cell r="AY367">
            <v>3.7681713848508033E-2</v>
          </cell>
          <cell r="AZ367">
            <v>0.79951062853647348</v>
          </cell>
          <cell r="BA367">
            <v>0.76938369781312121</v>
          </cell>
        </row>
        <row r="368">
          <cell r="AY368">
            <v>3.8423582593193902E-2</v>
          </cell>
          <cell r="AZ368">
            <v>0.7991706311852852</v>
          </cell>
          <cell r="BA368">
            <v>0.76846363243188243</v>
          </cell>
        </row>
        <row r="369">
          <cell r="AY369">
            <v>3.8151207115628971E-2</v>
          </cell>
          <cell r="AZ369">
            <v>0.80018301517500823</v>
          </cell>
          <cell r="BA369">
            <v>0.76968048600696481</v>
          </cell>
        </row>
        <row r="370">
          <cell r="AY370">
            <v>3.8505455468155293E-2</v>
          </cell>
          <cell r="AZ370">
            <v>0.80246379393723433</v>
          </cell>
          <cell r="BA370">
            <v>0.7715645600549772</v>
          </cell>
        </row>
        <row r="371">
          <cell r="AY371">
            <v>3.8056448276959302E-2</v>
          </cell>
          <cell r="AZ371">
            <v>0.79946578478758579</v>
          </cell>
          <cell r="BA371">
            <v>0.76904095649961834</v>
          </cell>
        </row>
        <row r="372">
          <cell r="AY372">
            <v>3.5971223021582732E-2</v>
          </cell>
          <cell r="AZ372">
            <v>0.80032974001268231</v>
          </cell>
          <cell r="BA372">
            <v>0.77154090044388079</v>
          </cell>
        </row>
        <row r="373">
          <cell r="AY373">
            <v>3.5768887756402093E-2</v>
          </cell>
          <cell r="AZ373">
            <v>0.79455382902262484</v>
          </cell>
          <cell r="BA373">
            <v>0.76613352229589515</v>
          </cell>
        </row>
        <row r="374">
          <cell r="AY374">
            <v>3.4699617608949844E-2</v>
          </cell>
          <cell r="AZ374">
            <v>0.80139293402557943</v>
          </cell>
          <cell r="BA374">
            <v>0.77355957958718502</v>
          </cell>
        </row>
        <row r="375">
          <cell r="AY375">
            <v>3.5410497133135911E-2</v>
          </cell>
          <cell r="AZ375">
            <v>0.80168712431176437</v>
          </cell>
          <cell r="BA375">
            <v>0.77329898469465075</v>
          </cell>
        </row>
        <row r="376">
          <cell r="AY376">
            <v>3.5977801601816232E-2</v>
          </cell>
          <cell r="AZ376">
            <v>0.80166835187057639</v>
          </cell>
          <cell r="BA376">
            <v>0.77282608695652177</v>
          </cell>
        </row>
        <row r="377">
          <cell r="AY377">
            <v>3.4658607989422989E-2</v>
          </cell>
          <cell r="AZ377">
            <v>0.80244013337374953</v>
          </cell>
          <cell r="BA377">
            <v>0.77462867535616853</v>
          </cell>
        </row>
        <row r="378">
          <cell r="AY378">
            <v>3.2669196710942441E-2</v>
          </cell>
          <cell r="AZ378">
            <v>0.79779986879951559</v>
          </cell>
          <cell r="BA378">
            <v>0.77173638794974009</v>
          </cell>
        </row>
        <row r="379">
          <cell r="AY379">
            <v>3.2360326428123039E-2</v>
          </cell>
          <cell r="AZ379">
            <v>0.80104593568501237</v>
          </cell>
          <cell r="BA379">
            <v>0.77509868503758828</v>
          </cell>
        </row>
        <row r="380">
          <cell r="AY380">
            <v>3.2851883319173041E-2</v>
          </cell>
          <cell r="AZ380">
            <v>0.80296636935593912</v>
          </cell>
          <cell r="BA380">
            <v>0.77656214467999096</v>
          </cell>
        </row>
        <row r="381">
          <cell r="AY381">
            <v>3.5329491355549983E-2</v>
          </cell>
          <cell r="AZ381">
            <v>0.79995991180597326</v>
          </cell>
          <cell r="BA381">
            <v>0.77167267989577071</v>
          </cell>
        </row>
        <row r="382">
          <cell r="AY382">
            <v>3.5838942907005733E-2</v>
          </cell>
          <cell r="AZ382">
            <v>0.80903635721849643</v>
          </cell>
          <cell r="BA382">
            <v>0.78004134940245085</v>
          </cell>
        </row>
        <row r="383">
          <cell r="AY383">
            <v>3.6325185046961493E-2</v>
          </cell>
          <cell r="AZ383">
            <v>0.80797065031661475</v>
          </cell>
          <cell r="BA383">
            <v>0.77862096693134986</v>
          </cell>
        </row>
        <row r="384">
          <cell r="AY384">
            <v>3.3965661771554537E-2</v>
          </cell>
          <cell r="AZ384">
            <v>0.80490303878448621</v>
          </cell>
          <cell r="BA384">
            <v>0.77756397441023595</v>
          </cell>
        </row>
        <row r="385">
          <cell r="AY385">
            <v>3.3175061291623995E-2</v>
          </cell>
          <cell r="AZ385">
            <v>0.80368633710779669</v>
          </cell>
          <cell r="BA385">
            <v>0.77702399361500474</v>
          </cell>
        </row>
        <row r="386">
          <cell r="AY386">
            <v>3.5542449169641471E-2</v>
          </cell>
          <cell r="AZ386">
            <v>0.80212638812808135</v>
          </cell>
          <cell r="BA386">
            <v>0.77361685175041084</v>
          </cell>
        </row>
        <row r="387">
          <cell r="AY387">
            <v>3.6151694124961144E-2</v>
          </cell>
          <cell r="AZ387">
            <v>0.80078659796380647</v>
          </cell>
          <cell r="BA387">
            <v>0.7718368058148507</v>
          </cell>
        </row>
        <row r="388">
          <cell r="AY388">
            <v>3.7482143966213279E-2</v>
          </cell>
          <cell r="AZ388">
            <v>0.79975164534955911</v>
          </cell>
          <cell r="BA388">
            <v>0.76977523904135103</v>
          </cell>
        </row>
        <row r="389">
          <cell r="AY389">
            <v>3.6083587986541966E-2</v>
          </cell>
          <cell r="AZ389">
            <v>0.8044946610379935</v>
          </cell>
          <cell r="BA389">
            <v>0.77549043953315122</v>
          </cell>
        </row>
        <row r="390">
          <cell r="AY390">
            <v>3.7141890020617289E-2</v>
          </cell>
          <cell r="AZ390">
            <v>0.80539790329376182</v>
          </cell>
          <cell r="BA390">
            <v>0.77548390294678926</v>
          </cell>
        </row>
        <row r="391">
          <cell r="AY391">
            <v>3.5872235872235869E-2</v>
          </cell>
          <cell r="AZ391">
            <v>0.80761980355193974</v>
          </cell>
          <cell r="BA391">
            <v>0.77862387141581502</v>
          </cell>
        </row>
        <row r="392">
          <cell r="AY392">
            <v>3.3074887699218514E-2</v>
          </cell>
          <cell r="AZ392">
            <v>0.80628116395028648</v>
          </cell>
          <cell r="BA392">
            <v>0.77961350499863558</v>
          </cell>
        </row>
        <row r="393">
          <cell r="AY393">
            <v>3.4532595325953257E-2</v>
          </cell>
          <cell r="AZ393">
            <v>0.8060678167757287</v>
          </cell>
          <cell r="BA393">
            <v>0.77825698988697212</v>
          </cell>
        </row>
        <row r="394">
          <cell r="AY394">
            <v>3.2793932508367367E-2</v>
          </cell>
          <cell r="AZ394">
            <v>0.80515723892405056</v>
          </cell>
          <cell r="BA394">
            <v>0.77875296677215189</v>
          </cell>
        </row>
        <row r="395">
          <cell r="AY395">
            <v>3.4261967061720792E-2</v>
          </cell>
          <cell r="AZ395">
            <v>0.80366641102397274</v>
          </cell>
          <cell r="BA395">
            <v>0.7761312189208579</v>
          </cell>
        </row>
        <row r="396">
          <cell r="AY396">
            <v>3.3242117047080043E-2</v>
          </cell>
          <cell r="AZ396">
            <v>0.7943581256329818</v>
          </cell>
          <cell r="BA396">
            <v>0.76797668157004173</v>
          </cell>
        </row>
        <row r="397">
          <cell r="AY397">
            <v>3.2086220169361045E-2</v>
          </cell>
          <cell r="AZ397">
            <v>0.80090263391535954</v>
          </cell>
          <cell r="BA397">
            <v>0.77520469566933015</v>
          </cell>
        </row>
        <row r="398">
          <cell r="AY398">
            <v>3.1789171527162791E-2</v>
          </cell>
          <cell r="AZ398">
            <v>0.80665582816040982</v>
          </cell>
          <cell r="BA398">
            <v>0.78101290767563303</v>
          </cell>
        </row>
        <row r="399">
          <cell r="AY399">
            <v>3.0675410639862712E-2</v>
          </cell>
          <cell r="AZ399">
            <v>0.80174934276799092</v>
          </cell>
          <cell r="BA399">
            <v>0.77715535244834277</v>
          </cell>
        </row>
        <row r="400">
          <cell r="AY400">
            <v>3.3828759004285586E-2</v>
          </cell>
          <cell r="AZ400">
            <v>0.80691126698386217</v>
          </cell>
          <cell r="BA400">
            <v>0.77961446019522251</v>
          </cell>
        </row>
        <row r="401">
          <cell r="AY401">
            <v>3.1878732200275608E-2</v>
          </cell>
          <cell r="AZ401">
            <v>0.80019113430860833</v>
          </cell>
          <cell r="BA401">
            <v>0.77468205542894952</v>
          </cell>
        </row>
        <row r="402">
          <cell r="AY402">
            <v>3.1900982270474103E-2</v>
          </cell>
          <cell r="AZ402">
            <v>0.80198526901126788</v>
          </cell>
          <cell r="BA402">
            <v>0.77640115116335795</v>
          </cell>
        </row>
        <row r="403">
          <cell r="AY403">
            <v>3.217746358705588E-2</v>
          </cell>
          <cell r="AZ403">
            <v>0.80073197511284622</v>
          </cell>
          <cell r="BA403">
            <v>0.77496645114066121</v>
          </cell>
        </row>
        <row r="404">
          <cell r="AY404">
            <v>3.1806459535797617E-2</v>
          </cell>
          <cell r="AZ404">
            <v>0.79190877926624681</v>
          </cell>
          <cell r="BA404">
            <v>0.76672096472247198</v>
          </cell>
        </row>
        <row r="405">
          <cell r="AY405">
            <v>3.1551459293394778E-2</v>
          </cell>
          <cell r="AZ405">
            <v>0.78978017178628623</v>
          </cell>
          <cell r="BA405">
            <v>0.76486145484544099</v>
          </cell>
        </row>
        <row r="406">
          <cell r="AY406">
            <v>3.3249976845420026E-2</v>
          </cell>
          <cell r="AZ406">
            <v>0.78720198313364276</v>
          </cell>
          <cell r="BA406">
            <v>0.76102753542178048</v>
          </cell>
        </row>
        <row r="407">
          <cell r="AY407">
            <v>4.150446004352757E-2</v>
          </cell>
          <cell r="AZ407">
            <v>0.79160903642231439</v>
          </cell>
          <cell r="BA407">
            <v>0.75875373080002906</v>
          </cell>
        </row>
        <row r="408">
          <cell r="AY408">
            <v>4.4093764363413515E-2</v>
          </cell>
          <cell r="AZ408">
            <v>0.79218856199631027</v>
          </cell>
          <cell r="BA408">
            <v>0.75725798621225349</v>
          </cell>
        </row>
        <row r="409">
          <cell r="AY409">
            <v>4.3692439494538444E-2</v>
          </cell>
          <cell r="AZ409">
            <v>0.79397045962491508</v>
          </cell>
          <cell r="BA409">
            <v>0.75927995335730258</v>
          </cell>
        </row>
        <row r="410">
          <cell r="AY410">
            <v>4.0527717407940249E-2</v>
          </cell>
          <cell r="AZ410">
            <v>0.79159195541555616</v>
          </cell>
          <cell r="BA410">
            <v>0.75951054034407561</v>
          </cell>
        </row>
        <row r="411">
          <cell r="AY411">
            <v>4.1057865357044802E-2</v>
          </cell>
          <cell r="AZ411">
            <v>0.79159221519292999</v>
          </cell>
          <cell r="BA411">
            <v>0.75909112860385375</v>
          </cell>
        </row>
        <row r="412">
          <cell r="AY412">
            <v>4.3298400441257587E-2</v>
          </cell>
          <cell r="AZ412">
            <v>0.78852752138404292</v>
          </cell>
          <cell r="BA412">
            <v>0.75440970376455796</v>
          </cell>
        </row>
        <row r="413">
          <cell r="AY413">
            <v>4.2619510539147608E-2</v>
          </cell>
          <cell r="AZ413">
            <v>0.78175589278390323</v>
          </cell>
          <cell r="BA413">
            <v>0.74843783927235885</v>
          </cell>
        </row>
        <row r="414">
          <cell r="AY414">
            <v>4.0594059405940588E-2</v>
          </cell>
          <cell r="AZ414">
            <v>0.77954655089242642</v>
          </cell>
          <cell r="BA414">
            <v>0.74787747226242152</v>
          </cell>
        </row>
        <row r="415">
          <cell r="AY415">
            <v>4.8132139549243592E-2</v>
          </cell>
          <cell r="AZ415">
            <v>0.77986179664363275</v>
          </cell>
          <cell r="BA415">
            <v>0.74232537981845759</v>
          </cell>
        </row>
        <row r="416">
          <cell r="AY416">
            <v>5.0552680731192012E-2</v>
          </cell>
          <cell r="AZ416">
            <v>0.7869069705804399</v>
          </cell>
          <cell r="BA416">
            <v>0.7471267137315375</v>
          </cell>
        </row>
        <row r="417">
          <cell r="AY417">
            <v>5.0857768584986009E-2</v>
          </cell>
          <cell r="AZ417">
            <v>0.78969998318560675</v>
          </cell>
          <cell r="BA417">
            <v>0.74953760418918591</v>
          </cell>
        </row>
        <row r="418">
          <cell r="AY418">
            <v>4.9846907532149425E-2</v>
          </cell>
          <cell r="AZ418">
            <v>0.78360805201660311</v>
          </cell>
          <cell r="BA418">
            <v>0.74454761390628377</v>
          </cell>
        </row>
        <row r="419">
          <cell r="AY419">
            <v>4.980842911877395E-2</v>
          </cell>
          <cell r="AZ419">
            <v>0.79299043062200958</v>
          </cell>
          <cell r="BA419">
            <v>0.7534928229665071</v>
          </cell>
        </row>
        <row r="420">
          <cell r="AY420">
            <v>4.7987476292259995E-2</v>
          </cell>
          <cell r="AZ420">
            <v>0.79521677718991635</v>
          </cell>
          <cell r="BA420">
            <v>0.75705633094730795</v>
          </cell>
        </row>
        <row r="421">
          <cell r="AY421">
            <v>4.7637641546270981E-2</v>
          </cell>
          <cell r="AZ421">
            <v>0.79898725671362414</v>
          </cell>
          <cell r="BA421">
            <v>0.76092538817826205</v>
          </cell>
        </row>
        <row r="422">
          <cell r="AY422">
            <v>4.7885888945491596E-2</v>
          </cell>
          <cell r="AZ422">
            <v>0.80053255289545644</v>
          </cell>
          <cell r="BA422">
            <v>0.76219833997025377</v>
          </cell>
        </row>
        <row r="423">
          <cell r="AY423">
            <v>4.3811740830274275E-2</v>
          </cell>
          <cell r="AZ423">
            <v>0.80087480281084178</v>
          </cell>
          <cell r="BA423">
            <v>0.76578708351259617</v>
          </cell>
        </row>
        <row r="424">
          <cell r="AY424">
            <v>3.8396885782535604E-2</v>
          </cell>
          <cell r="AZ424">
            <v>0.80847360640885035</v>
          </cell>
          <cell r="BA424">
            <v>0.77740689523627871</v>
          </cell>
        </row>
        <row r="425">
          <cell r="AY425">
            <v>3.599092863664477E-2</v>
          </cell>
          <cell r="AZ425">
            <v>0.80568079350766464</v>
          </cell>
          <cell r="BA425">
            <v>0.77668359356461492</v>
          </cell>
        </row>
        <row r="426">
          <cell r="AY426">
            <v>3.3491979552265114E-2</v>
          </cell>
          <cell r="AZ426">
            <v>0.80752532561505064</v>
          </cell>
          <cell r="BA426">
            <v>0.78047970392161514</v>
          </cell>
        </row>
        <row r="427">
          <cell r="AY427">
            <v>3.4307459911689514E-2</v>
          </cell>
          <cell r="AZ427">
            <v>0.81583125962791803</v>
          </cell>
          <cell r="BA427">
            <v>0.78786586088399102</v>
          </cell>
        </row>
        <row r="428">
          <cell r="AY428">
            <v>3.0385447739369482E-2</v>
          </cell>
          <cell r="AZ428">
            <v>0.80938291476317847</v>
          </cell>
          <cell r="BA428">
            <v>0.78481312282528937</v>
          </cell>
        </row>
        <row r="429">
          <cell r="AY429">
            <v>2.8813010046254011E-2</v>
          </cell>
          <cell r="AZ429">
            <v>0.80576854599406533</v>
          </cell>
          <cell r="BA429">
            <v>0.78255192878338276</v>
          </cell>
        </row>
        <row r="430">
          <cell r="AY430">
            <v>3.0146651505874807E-2</v>
          </cell>
          <cell r="AZ430">
            <v>0.80937772848479128</v>
          </cell>
          <cell r="BA430">
            <v>0.78497770016754376</v>
          </cell>
        </row>
        <row r="431">
          <cell r="AY431">
            <v>2.996483273752434E-2</v>
          </cell>
          <cell r="AZ431">
            <v>0.81190712161970824</v>
          </cell>
          <cell r="BA431">
            <v>0.78760205767143321</v>
          </cell>
        </row>
        <row r="432">
          <cell r="AY432">
            <v>3.07956263812958E-2</v>
          </cell>
          <cell r="AZ432">
            <v>0.81189942155589667</v>
          </cell>
          <cell r="BA432">
            <v>0.78689647031047105</v>
          </cell>
        </row>
        <row r="433">
          <cell r="AY433">
            <v>3.3100594776312386E-2</v>
          </cell>
          <cell r="AZ433">
            <v>0.81706773095433738</v>
          </cell>
          <cell r="BA433">
            <v>0.78999882615330441</v>
          </cell>
        </row>
        <row r="434">
          <cell r="AY434">
            <v>3.1300438090846205E-2</v>
          </cell>
          <cell r="AZ434">
            <v>0.81293345829428298</v>
          </cell>
          <cell r="BA434">
            <v>0.78746485473289596</v>
          </cell>
        </row>
        <row r="435">
          <cell r="AY435">
            <v>3.5825455383905927E-2</v>
          </cell>
          <cell r="AZ435">
            <v>0.81270495643211849</v>
          </cell>
          <cell r="BA435">
            <v>0.78358943127518044</v>
          </cell>
        </row>
        <row r="436">
          <cell r="AY436">
            <v>3.6186001203334955E-2</v>
          </cell>
          <cell r="AZ436">
            <v>0.81621533136897251</v>
          </cell>
          <cell r="BA436">
            <v>0.78667976240587445</v>
          </cell>
        </row>
        <row r="437">
          <cell r="AY437">
            <v>3.6851255450736746E-2</v>
          </cell>
          <cell r="AZ437">
            <v>0.81580599409425936</v>
          </cell>
          <cell r="BA437">
            <v>0.78574251900764969</v>
          </cell>
        </row>
        <row r="438">
          <cell r="AY438">
            <v>3.4291721120518211E-2</v>
          </cell>
          <cell r="AZ438">
            <v>0.81705703475011038</v>
          </cell>
          <cell r="BA438">
            <v>0.78903874277490194</v>
          </cell>
        </row>
        <row r="439">
          <cell r="AY439">
            <v>3.4841628959276019E-2</v>
          </cell>
          <cell r="AZ439">
            <v>0.82110347389931271</v>
          </cell>
          <cell r="BA439">
            <v>0.79249489132454032</v>
          </cell>
        </row>
        <row r="440">
          <cell r="AY440">
            <v>3.0784901816535568E-2</v>
          </cell>
          <cell r="AZ440">
            <v>0.81772327626099028</v>
          </cell>
          <cell r="BA440">
            <v>0.7925497454881999</v>
          </cell>
        </row>
        <row r="441">
          <cell r="AY441">
            <v>2.9931430847583009E-2</v>
          </cell>
          <cell r="AZ441">
            <v>0.81199029686958524</v>
          </cell>
          <cell r="BA441">
            <v>0.78768626544992493</v>
          </cell>
        </row>
        <row r="442">
          <cell r="AY442">
            <v>3.1355550551677547E-2</v>
          </cell>
          <cell r="AZ442">
            <v>0.81807087430058267</v>
          </cell>
          <cell r="BA442">
            <v>0.7924198116465957</v>
          </cell>
        </row>
        <row r="443">
          <cell r="AY443">
            <v>3.2828923267675489E-2</v>
          </cell>
          <cell r="AZ443">
            <v>0.81568059577989227</v>
          </cell>
          <cell r="BA443">
            <v>0.78890268009010245</v>
          </cell>
        </row>
        <row r="444">
          <cell r="AY444">
            <v>3.014637709662012E-2</v>
          </cell>
          <cell r="AZ444">
            <v>0.81577318878778848</v>
          </cell>
          <cell r="BA444">
            <v>0.7911805826132795</v>
          </cell>
        </row>
        <row r="445">
          <cell r="AY445">
            <v>2.804950243847433E-2</v>
          </cell>
          <cell r="AZ445">
            <v>0.81477823460504861</v>
          </cell>
          <cell r="BA445">
            <v>0.79192411052667855</v>
          </cell>
        </row>
        <row r="446">
          <cell r="AY446">
            <v>2.9830106677202688E-2</v>
          </cell>
          <cell r="AZ446">
            <v>0.81283692335925495</v>
          </cell>
          <cell r="BA446">
            <v>0.78858991122427902</v>
          </cell>
        </row>
        <row r="447">
          <cell r="AY447">
            <v>2.8377770277871528E-2</v>
          </cell>
          <cell r="AZ447">
            <v>0.81150290996234165</v>
          </cell>
          <cell r="BA447">
            <v>0.78845144356955377</v>
          </cell>
        </row>
        <row r="448">
          <cell r="AY448">
            <v>2.7036227978098668E-2</v>
          </cell>
          <cell r="AZ448">
            <v>0.80486356890055943</v>
          </cell>
          <cell r="BA448">
            <v>0.7830802603036876</v>
          </cell>
        </row>
        <row r="449">
          <cell r="AY449">
            <v>2.6576194515125814E-2</v>
          </cell>
          <cell r="AZ449">
            <v>0.80446698660358906</v>
          </cell>
          <cell r="BA449">
            <v>0.78308731548661503</v>
          </cell>
        </row>
        <row r="450">
          <cell r="AY450">
            <v>3.0226060452120902E-2</v>
          </cell>
          <cell r="AZ450">
            <v>0.80471021075581406</v>
          </cell>
          <cell r="BA450">
            <v>0.78038699127906974</v>
          </cell>
        </row>
        <row r="451">
          <cell r="AY451">
            <v>2.996845425867508E-2</v>
          </cell>
          <cell r="AZ451">
            <v>0.8070007955449483</v>
          </cell>
          <cell r="BA451">
            <v>0.78283895897261047</v>
          </cell>
        </row>
        <row r="452">
          <cell r="AY452">
            <v>3.007244342112652E-2</v>
          </cell>
          <cell r="AZ452">
            <v>0.80817845553361933</v>
          </cell>
          <cell r="BA452">
            <v>0.78387455465541112</v>
          </cell>
        </row>
        <row r="453">
          <cell r="AY453">
            <v>3.037670467247932E-2</v>
          </cell>
          <cell r="AZ453">
            <v>0.81069324875396465</v>
          </cell>
          <cell r="BA453">
            <v>0.7860670593565926</v>
          </cell>
        </row>
        <row r="454">
          <cell r="AY454">
            <v>3.0147368421052635E-2</v>
          </cell>
          <cell r="AZ454">
            <v>0.80910742675448555</v>
          </cell>
          <cell r="BA454">
            <v>0.78471496706790822</v>
          </cell>
        </row>
        <row r="455">
          <cell r="AY455">
            <v>2.7617661872516647E-2</v>
          </cell>
          <cell r="AZ455">
            <v>0.8083508629074212</v>
          </cell>
          <cell r="BA455">
            <v>0.78602610210128687</v>
          </cell>
        </row>
        <row r="456">
          <cell r="AY456">
            <v>2.6494146642020946E-2</v>
          </cell>
          <cell r="AZ456">
            <v>0.80709764918625682</v>
          </cell>
          <cell r="BA456">
            <v>0.7857142857142857</v>
          </cell>
        </row>
        <row r="457">
          <cell r="AY457">
            <v>2.5447215923406402E-2</v>
          </cell>
          <cell r="AZ457">
            <v>0.8048351846427686</v>
          </cell>
          <cell r="BA457">
            <v>0.78437690106572333</v>
          </cell>
        </row>
        <row r="458">
          <cell r="AY458">
            <v>2.5194340361277334E-2</v>
          </cell>
          <cell r="AZ458">
            <v>0.80472547254725468</v>
          </cell>
          <cell r="BA458">
            <v>0.78445094509450941</v>
          </cell>
        </row>
        <row r="459">
          <cell r="AY459">
            <v>2.4805679490417266E-2</v>
          </cell>
          <cell r="AZ459">
            <v>0.80457408619872206</v>
          </cell>
          <cell r="BA459">
            <v>0.78461607929018129</v>
          </cell>
        </row>
        <row r="460">
          <cell r="AY460">
            <v>2.5533226828106166E-2</v>
          </cell>
          <cell r="AZ460">
            <v>0.80650557200660056</v>
          </cell>
          <cell r="BA460">
            <v>0.7859128822984246</v>
          </cell>
        </row>
        <row r="461">
          <cell r="AY461">
            <v>2.5490196078431372E-2</v>
          </cell>
          <cell r="AZ461">
            <v>0.80536004331348132</v>
          </cell>
          <cell r="BA461">
            <v>0.78483125789568664</v>
          </cell>
        </row>
        <row r="462">
          <cell r="AY462">
            <v>2.4610061664666984E-2</v>
          </cell>
          <cell r="AZ462">
            <v>0.81114908448950951</v>
          </cell>
          <cell r="BA462">
            <v>0.79118665550098444</v>
          </cell>
        </row>
        <row r="463">
          <cell r="AY463">
            <v>2.6038627205780186E-2</v>
          </cell>
          <cell r="AZ463">
            <v>0.80692902791792798</v>
          </cell>
          <cell r="BA463">
            <v>0.78591770377845049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</sheetNames>
    <sheetDataSet>
      <sheetData sheetId="0"/>
      <sheetData sheetId="1">
        <row r="444">
          <cell r="G444">
            <v>97.765363128499999</v>
          </cell>
        </row>
        <row r="445">
          <cell r="G445">
            <v>97.672253258799998</v>
          </cell>
        </row>
        <row r="446">
          <cell r="G446">
            <v>98.137802607099999</v>
          </cell>
        </row>
        <row r="447">
          <cell r="G447">
            <v>97.858472998099998</v>
          </cell>
        </row>
        <row r="448">
          <cell r="G448">
            <v>97.765363128499999</v>
          </cell>
        </row>
        <row r="449">
          <cell r="G449">
            <v>97.765363128499999</v>
          </cell>
        </row>
        <row r="450">
          <cell r="G450">
            <v>98.137802607099999</v>
          </cell>
        </row>
        <row r="451">
          <cell r="G451">
            <v>98.696461825</v>
          </cell>
        </row>
        <row r="452">
          <cell r="G452">
            <v>99.5344506518</v>
          </cell>
        </row>
        <row r="453">
          <cell r="G453">
            <v>99.720670391100001</v>
          </cell>
        </row>
        <row r="454">
          <cell r="G454">
            <v>99.8137802607</v>
          </cell>
        </row>
        <row r="455">
          <cell r="G455">
            <v>100.3724394786</v>
          </cell>
        </row>
        <row r="456">
          <cell r="G456">
            <v>101.303538175</v>
          </cell>
        </row>
        <row r="457">
          <cell r="G457">
            <v>101.1173184358</v>
          </cell>
        </row>
        <row r="458">
          <cell r="G458">
            <v>101.582867784</v>
          </cell>
        </row>
        <row r="459">
          <cell r="G459">
            <v>101.2104283054</v>
          </cell>
        </row>
        <row r="460">
          <cell r="G460">
            <v>100.9310986965</v>
          </cell>
        </row>
        <row r="461">
          <cell r="G461">
            <v>101.5</v>
          </cell>
        </row>
        <row r="462">
          <cell r="G462">
            <v>101.5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output"/>
      <sheetName val="טבלה"/>
      <sheetName val="changes_chart"/>
      <sheetName val="Imf com"/>
      <sheetName val="EIA"/>
      <sheetName val="World bank"/>
    </sheetNames>
    <sheetDataSet>
      <sheetData sheetId="0"/>
      <sheetData sheetId="1"/>
      <sheetData sheetId="2">
        <row r="222">
          <cell r="C222">
            <v>101.99999999999996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_il"/>
      <sheetName val="daily_us"/>
      <sheetName val="daily_euro"/>
      <sheetName val="daily_uk"/>
      <sheetName val="daily_cn"/>
      <sheetName val="monthly"/>
      <sheetName val="monthly_change"/>
      <sheetName val="quarterly"/>
      <sheetName val="quarterly_change"/>
      <sheetName val="yearly"/>
      <sheetName val="yearly_change"/>
      <sheetName val="חישובים לגרפים"/>
    </sheetNames>
    <sheetDataSet>
      <sheetData sheetId="0"/>
      <sheetData sheetId="1"/>
      <sheetData sheetId="2"/>
      <sheetData sheetId="3"/>
      <sheetData sheetId="4"/>
      <sheetData sheetId="5">
        <row r="463">
          <cell r="D463">
            <v>2476.2613636363644</v>
          </cell>
          <cell r="E463">
            <v>2522.1377272727277</v>
          </cell>
          <cell r="F463">
            <v>17828.026666666665</v>
          </cell>
          <cell r="G463">
            <v>5683.9833333333327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7C9E-A932-4ADE-A960-BD7945586476}">
  <dimension ref="A1:H13"/>
  <sheetViews>
    <sheetView rightToLeft="1" workbookViewId="0">
      <selection activeCell="C12" sqref="C12"/>
    </sheetView>
  </sheetViews>
  <sheetFormatPr defaultRowHeight="14.25"/>
  <cols>
    <col min="1" max="1" width="10" bestFit="1" customWidth="1"/>
    <col min="2" max="2" width="17.75" bestFit="1" customWidth="1"/>
    <col min="3" max="3" width="17.75" customWidth="1"/>
    <col min="4" max="4" width="21.875" bestFit="1" customWidth="1"/>
    <col min="5" max="5" width="10.125" bestFit="1" customWidth="1"/>
    <col min="7" max="7" width="53.75" bestFit="1" customWidth="1"/>
    <col min="8" max="8" width="10.125" bestFit="1" customWidth="1"/>
  </cols>
  <sheetData>
    <row r="1" spans="1:8">
      <c r="A1" t="s">
        <v>3</v>
      </c>
      <c r="B1" t="s">
        <v>4</v>
      </c>
      <c r="C1" t="s">
        <v>136</v>
      </c>
      <c r="D1" t="s">
        <v>6</v>
      </c>
      <c r="E1" t="s">
        <v>7</v>
      </c>
      <c r="F1" t="s">
        <v>9</v>
      </c>
      <c r="G1" t="s">
        <v>10</v>
      </c>
      <c r="H1" t="s">
        <v>19</v>
      </c>
    </row>
    <row r="2" spans="1:8">
      <c r="A2" t="s">
        <v>12</v>
      </c>
      <c r="B2" t="s">
        <v>1</v>
      </c>
      <c r="D2" t="s">
        <v>2</v>
      </c>
      <c r="E2" t="s">
        <v>8</v>
      </c>
      <c r="G2" t="s">
        <v>11</v>
      </c>
      <c r="H2" t="s">
        <v>20</v>
      </c>
    </row>
    <row r="3" spans="1:8">
      <c r="A3" t="s">
        <v>12</v>
      </c>
      <c r="B3" t="s">
        <v>13</v>
      </c>
      <c r="D3" t="s">
        <v>14</v>
      </c>
      <c r="E3" t="s">
        <v>15</v>
      </c>
      <c r="G3" t="s">
        <v>16</v>
      </c>
      <c r="H3" t="s">
        <v>21</v>
      </c>
    </row>
    <row r="6" spans="1:8">
      <c r="A6" t="s">
        <v>17</v>
      </c>
      <c r="B6" t="s">
        <v>18</v>
      </c>
      <c r="C6" t="s">
        <v>137</v>
      </c>
      <c r="D6" t="s">
        <v>140</v>
      </c>
      <c r="E6" t="s">
        <v>141</v>
      </c>
      <c r="F6" t="s">
        <v>147</v>
      </c>
      <c r="H6" t="s">
        <v>163</v>
      </c>
    </row>
    <row r="7" spans="1:8">
      <c r="A7" t="s">
        <v>17</v>
      </c>
      <c r="B7" t="s">
        <v>138</v>
      </c>
      <c r="C7" t="s">
        <v>139</v>
      </c>
      <c r="D7" t="s">
        <v>140</v>
      </c>
      <c r="E7" t="s">
        <v>141</v>
      </c>
      <c r="F7" t="s">
        <v>147</v>
      </c>
      <c r="H7" t="s">
        <v>142</v>
      </c>
    </row>
    <row r="8" spans="1:8">
      <c r="A8" t="s">
        <v>17</v>
      </c>
      <c r="B8" t="s">
        <v>144</v>
      </c>
      <c r="C8" t="s">
        <v>143</v>
      </c>
      <c r="D8" t="s">
        <v>145</v>
      </c>
      <c r="E8" t="s">
        <v>146</v>
      </c>
      <c r="F8" t="s">
        <v>148</v>
      </c>
      <c r="H8" t="s">
        <v>21</v>
      </c>
    </row>
    <row r="9" spans="1:8" ht="15">
      <c r="A9" t="s">
        <v>17</v>
      </c>
      <c r="B9" t="s">
        <v>149</v>
      </c>
      <c r="C9" s="1" t="s">
        <v>150</v>
      </c>
      <c r="D9" t="s">
        <v>14</v>
      </c>
      <c r="E9" t="s">
        <v>151</v>
      </c>
      <c r="F9" t="s">
        <v>147</v>
      </c>
      <c r="H9" t="s">
        <v>164</v>
      </c>
    </row>
    <row r="12" spans="1:8">
      <c r="A12" t="s">
        <v>154</v>
      </c>
      <c r="B12" t="s">
        <v>155</v>
      </c>
      <c r="C12" t="s">
        <v>5</v>
      </c>
      <c r="D12" t="s">
        <v>156</v>
      </c>
      <c r="E12" t="s">
        <v>141</v>
      </c>
      <c r="F12" t="s">
        <v>157</v>
      </c>
      <c r="H12" t="s">
        <v>142</v>
      </c>
    </row>
    <row r="13" spans="1:8">
      <c r="A13" t="s">
        <v>154</v>
      </c>
      <c r="B13" t="s">
        <v>159</v>
      </c>
      <c r="C13" t="s">
        <v>158</v>
      </c>
      <c r="D13" t="s">
        <v>160</v>
      </c>
      <c r="E13" t="s">
        <v>8</v>
      </c>
      <c r="F13" t="s">
        <v>161</v>
      </c>
      <c r="G13" t="s">
        <v>162</v>
      </c>
      <c r="H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56C6-8A5B-49B9-A2C9-24A5F8A4136D}">
  <dimension ref="A1:AX723"/>
  <sheetViews>
    <sheetView rightToLeft="1" tabSelected="1" zoomScaleNormal="100" workbookViewId="0">
      <pane xSplit="4" ySplit="4" topLeftCell="E355" activePane="bottomRight" state="frozen"/>
      <selection pane="topRight" activeCell="E1" sqref="E1"/>
      <selection pane="bottomLeft" activeCell="A4" sqref="A4"/>
      <selection pane="bottomRight" activeCell="J358" sqref="J358"/>
    </sheetView>
  </sheetViews>
  <sheetFormatPr defaultRowHeight="15.75"/>
  <cols>
    <col min="1" max="1" width="10.375" style="23" bestFit="1" customWidth="1"/>
    <col min="2" max="4" width="10.375" style="23" customWidth="1"/>
    <col min="5" max="5" width="9" style="23"/>
    <col min="6" max="6" width="12.375" style="23" bestFit="1" customWidth="1"/>
    <col min="7" max="7" width="9.875" style="23" bestFit="1" customWidth="1"/>
    <col min="8" max="9" width="9.875" style="23" customWidth="1"/>
    <col min="10" max="14" width="9" style="23"/>
    <col min="15" max="16" width="11.125" style="23" bestFit="1" customWidth="1"/>
    <col min="17" max="17" width="10.125" style="23" bestFit="1" customWidth="1"/>
    <col min="18" max="20" width="9" style="23"/>
    <col min="21" max="21" width="9.5" style="23" bestFit="1" customWidth="1"/>
    <col min="22" max="31" width="9" style="23"/>
    <col min="32" max="33" width="9" style="57"/>
    <col min="34" max="34" width="12.125" style="23" customWidth="1"/>
    <col min="35" max="35" width="9" style="23"/>
    <col min="36" max="36" width="9" style="61"/>
    <col min="37" max="37" width="9" style="23"/>
    <col min="38" max="38" width="9" style="74"/>
    <col min="39" max="39" width="9" style="23"/>
    <col min="46" max="47" width="9" style="61"/>
    <col min="48" max="48" width="9" style="75"/>
    <col min="49" max="50" width="9" style="61"/>
    <col min="51" max="16384" width="9" style="23"/>
  </cols>
  <sheetData>
    <row r="1" spans="1:49">
      <c r="A1" s="23" t="s">
        <v>196</v>
      </c>
      <c r="E1" s="23" t="s">
        <v>206</v>
      </c>
      <c r="F1" s="23" t="s">
        <v>207</v>
      </c>
      <c r="G1" s="23" t="s">
        <v>207</v>
      </c>
      <c r="H1" s="23" t="s">
        <v>207</v>
      </c>
      <c r="I1" s="23" t="s">
        <v>206</v>
      </c>
      <c r="J1" s="23" t="s">
        <v>206</v>
      </c>
      <c r="K1" s="23" t="s">
        <v>208</v>
      </c>
      <c r="L1" s="23" t="s">
        <v>208</v>
      </c>
      <c r="M1" s="23" t="s">
        <v>208</v>
      </c>
      <c r="N1" s="23" t="s">
        <v>208</v>
      </c>
      <c r="O1" s="23" t="s">
        <v>208</v>
      </c>
      <c r="P1" s="23" t="s">
        <v>208</v>
      </c>
      <c r="Q1" s="23" t="s">
        <v>208</v>
      </c>
      <c r="R1" s="23" t="s">
        <v>208</v>
      </c>
      <c r="S1" s="23" t="s">
        <v>207</v>
      </c>
      <c r="T1" s="23" t="s">
        <v>207</v>
      </c>
      <c r="U1" s="23" t="s">
        <v>207</v>
      </c>
      <c r="V1" s="23" t="s">
        <v>207</v>
      </c>
      <c r="W1" s="23" t="s">
        <v>207</v>
      </c>
      <c r="X1" s="23" t="s">
        <v>207</v>
      </c>
      <c r="Y1" s="23" t="s">
        <v>207</v>
      </c>
      <c r="Z1" s="23" t="s">
        <v>207</v>
      </c>
      <c r="AA1" s="23" t="s">
        <v>207</v>
      </c>
      <c r="AB1" s="23" t="s">
        <v>207</v>
      </c>
      <c r="AC1" s="23" t="s">
        <v>206</v>
      </c>
      <c r="AD1" s="23" t="s">
        <v>206</v>
      </c>
      <c r="AE1" s="23" t="s">
        <v>206</v>
      </c>
      <c r="AF1" s="57" t="s">
        <v>206</v>
      </c>
      <c r="AG1" s="57" t="s">
        <v>206</v>
      </c>
      <c r="AH1" s="23" t="s">
        <v>208</v>
      </c>
      <c r="AI1" s="23" t="s">
        <v>206</v>
      </c>
      <c r="AJ1" s="61" t="s">
        <v>206</v>
      </c>
      <c r="AK1" s="23" t="s">
        <v>206</v>
      </c>
      <c r="AL1" s="74" t="s">
        <v>206</v>
      </c>
      <c r="AM1" s="23" t="s">
        <v>206</v>
      </c>
      <c r="AV1" s="61"/>
    </row>
    <row r="2" spans="1:49">
      <c r="A2" s="23" t="s">
        <v>197</v>
      </c>
      <c r="E2" s="23" t="s">
        <v>203</v>
      </c>
      <c r="F2" s="23" t="s">
        <v>204</v>
      </c>
      <c r="G2" s="23" t="s">
        <v>204</v>
      </c>
      <c r="H2" s="23" t="s">
        <v>204</v>
      </c>
      <c r="I2" s="23" t="s">
        <v>204</v>
      </c>
      <c r="J2" s="23" t="s">
        <v>205</v>
      </c>
      <c r="K2" s="23" t="s">
        <v>205</v>
      </c>
      <c r="L2" s="23" t="s">
        <v>204</v>
      </c>
      <c r="M2" s="61" t="s">
        <v>203</v>
      </c>
      <c r="N2" s="61" t="s">
        <v>204</v>
      </c>
      <c r="O2" s="23" t="s">
        <v>204</v>
      </c>
      <c r="P2" s="23" t="s">
        <v>204</v>
      </c>
      <c r="Q2" s="23" t="s">
        <v>204</v>
      </c>
      <c r="R2" s="23" t="s">
        <v>204</v>
      </c>
      <c r="S2" s="23" t="s">
        <v>204</v>
      </c>
      <c r="T2" s="23" t="s">
        <v>204</v>
      </c>
      <c r="U2" s="23" t="s">
        <v>204</v>
      </c>
      <c r="V2" s="23" t="s">
        <v>204</v>
      </c>
      <c r="W2" s="23" t="s">
        <v>204</v>
      </c>
      <c r="X2" s="23" t="s">
        <v>204</v>
      </c>
      <c r="Y2" s="23" t="s">
        <v>204</v>
      </c>
      <c r="Z2" s="23" t="s">
        <v>204</v>
      </c>
      <c r="AA2" s="23" t="s">
        <v>204</v>
      </c>
      <c r="AB2" s="23" t="s">
        <v>204</v>
      </c>
      <c r="AC2" s="23" t="s">
        <v>205</v>
      </c>
      <c r="AD2" s="23" t="s">
        <v>205</v>
      </c>
      <c r="AE2" s="23" t="s">
        <v>205</v>
      </c>
      <c r="AF2" s="57" t="s">
        <v>205</v>
      </c>
      <c r="AG2" s="57" t="s">
        <v>205</v>
      </c>
      <c r="AJ2" s="61" t="s">
        <v>205</v>
      </c>
      <c r="AK2" s="23" t="s">
        <v>205</v>
      </c>
      <c r="AM2" s="23" t="s">
        <v>205</v>
      </c>
    </row>
    <row r="3" spans="1:49">
      <c r="A3" t="s">
        <v>214</v>
      </c>
      <c r="E3" s="23">
        <v>15</v>
      </c>
      <c r="F3" s="23">
        <v>0</v>
      </c>
      <c r="G3" s="23">
        <v>0</v>
      </c>
      <c r="H3" s="23">
        <v>0</v>
      </c>
      <c r="I3" s="23">
        <v>16</v>
      </c>
      <c r="J3" s="23">
        <v>12</v>
      </c>
      <c r="M3" s="61"/>
      <c r="N3" s="61"/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61">
        <v>16</v>
      </c>
      <c r="AD3" s="61">
        <v>16</v>
      </c>
      <c r="AE3" s="61">
        <v>18</v>
      </c>
      <c r="AF3" s="57">
        <v>94</v>
      </c>
      <c r="AG3" s="57">
        <v>94</v>
      </c>
    </row>
    <row r="4" spans="1:49" ht="77.25" customHeight="1">
      <c r="A4" s="23" t="s">
        <v>0</v>
      </c>
      <c r="B4" s="23" t="s">
        <v>171</v>
      </c>
      <c r="C4" s="23" t="s">
        <v>172</v>
      </c>
      <c r="D4" s="23" t="s">
        <v>173</v>
      </c>
      <c r="E4" s="23" t="s">
        <v>165</v>
      </c>
      <c r="F4" s="23" t="s">
        <v>185</v>
      </c>
      <c r="G4" s="23" t="s">
        <v>184</v>
      </c>
      <c r="H4" s="24" t="s">
        <v>143</v>
      </c>
      <c r="I4" s="23" t="s">
        <v>183</v>
      </c>
      <c r="J4" s="24" t="s">
        <v>150</v>
      </c>
      <c r="K4" s="23" t="s">
        <v>170</v>
      </c>
      <c r="L4" s="23" t="s">
        <v>174</v>
      </c>
      <c r="M4" s="61" t="s">
        <v>176</v>
      </c>
      <c r="N4" s="23" t="s">
        <v>175</v>
      </c>
      <c r="O4" s="25" t="s">
        <v>182</v>
      </c>
      <c r="P4" s="26" t="s">
        <v>181</v>
      </c>
      <c r="Q4" s="25" t="s">
        <v>186</v>
      </c>
      <c r="R4" s="25" t="s">
        <v>177</v>
      </c>
      <c r="S4" s="24" t="s">
        <v>180</v>
      </c>
      <c r="T4" s="25" t="s">
        <v>192</v>
      </c>
      <c r="U4" s="25" t="s">
        <v>193</v>
      </c>
      <c r="V4" s="25" t="s">
        <v>194</v>
      </c>
      <c r="W4" s="23" t="s">
        <v>195</v>
      </c>
      <c r="X4" s="25" t="s">
        <v>198</v>
      </c>
      <c r="Y4" s="25" t="s">
        <v>199</v>
      </c>
      <c r="Z4" s="27" t="s">
        <v>200</v>
      </c>
      <c r="AA4" s="27" t="s">
        <v>201</v>
      </c>
      <c r="AB4" s="27" t="s">
        <v>202</v>
      </c>
      <c r="AC4" s="27" t="s">
        <v>210</v>
      </c>
      <c r="AD4" s="27" t="s">
        <v>211</v>
      </c>
      <c r="AE4" s="27" t="s">
        <v>209</v>
      </c>
      <c r="AF4" s="77" t="s">
        <v>213</v>
      </c>
      <c r="AG4" s="77" t="s">
        <v>212</v>
      </c>
      <c r="AH4" s="23" t="s">
        <v>215</v>
      </c>
      <c r="AI4" s="23" t="s">
        <v>216</v>
      </c>
      <c r="AJ4" s="61" t="s">
        <v>217</v>
      </c>
      <c r="AK4" s="23" t="s">
        <v>218</v>
      </c>
      <c r="AL4" s="74" t="s">
        <v>219</v>
      </c>
      <c r="AM4" s="23" t="s">
        <v>220</v>
      </c>
      <c r="AV4" s="61"/>
    </row>
    <row r="5" spans="1:49">
      <c r="A5" s="28">
        <v>34700</v>
      </c>
      <c r="B5" s="29">
        <f>MONTH(A5)</f>
        <v>1</v>
      </c>
      <c r="C5" s="29">
        <f>ROUNDUP(B5/3,0)</f>
        <v>1</v>
      </c>
      <c r="D5" s="29">
        <f>YEAR(A5)</f>
        <v>1995</v>
      </c>
      <c r="E5" s="11">
        <v>50.644059340399998</v>
      </c>
      <c r="L5" s="23">
        <v>18.039523809523807</v>
      </c>
      <c r="N5" s="30">
        <v>3.011714285714286</v>
      </c>
      <c r="O5" s="12">
        <v>165.50652173913042</v>
      </c>
      <c r="P5" s="12">
        <v>163.97826086956522</v>
      </c>
      <c r="Q5" s="12">
        <v>758.01238095238091</v>
      </c>
      <c r="R5" s="12">
        <v>465.24999999999989</v>
      </c>
      <c r="S5" s="31">
        <v>0.17</v>
      </c>
      <c r="W5" s="32"/>
      <c r="X5" s="33"/>
      <c r="AH5" s="3">
        <v>7655.8462579999996</v>
      </c>
      <c r="AI5" s="4">
        <v>140.30000000000001</v>
      </c>
      <c r="AT5" s="67"/>
      <c r="AU5" s="68"/>
      <c r="AV5" s="68"/>
      <c r="AW5" s="68"/>
    </row>
    <row r="6" spans="1:49">
      <c r="A6" s="28">
        <v>34731</v>
      </c>
      <c r="B6" s="29">
        <f t="shared" ref="B6:B69" si="0">MONTH(A6)</f>
        <v>2</v>
      </c>
      <c r="C6" s="29">
        <f t="shared" ref="C6:C69" si="1">ROUNDUP(B6/3,0)</f>
        <v>1</v>
      </c>
      <c r="D6" s="29">
        <f t="shared" ref="D6:D69" si="2">YEAR(A6)</f>
        <v>1995</v>
      </c>
      <c r="E6" s="11">
        <v>50.728536503599997</v>
      </c>
      <c r="L6" s="23">
        <v>18.569999999999993</v>
      </c>
      <c r="M6" s="30">
        <v>93.34</v>
      </c>
      <c r="N6" s="30">
        <v>3.0095499999999999</v>
      </c>
      <c r="O6" s="12">
        <v>160.88699999999997</v>
      </c>
      <c r="P6" s="12">
        <v>161.739</v>
      </c>
      <c r="Q6" s="12">
        <v>784.24368421052634</v>
      </c>
      <c r="R6" s="12">
        <v>481.92473684210523</v>
      </c>
      <c r="S6" s="34">
        <v>0.17</v>
      </c>
      <c r="W6" s="32"/>
      <c r="X6" s="33"/>
      <c r="AH6" s="3">
        <v>8618.6176469999991</v>
      </c>
      <c r="AI6" s="4">
        <v>140.69999999999999</v>
      </c>
      <c r="AT6" s="67"/>
      <c r="AU6" s="68"/>
      <c r="AV6" s="68"/>
      <c r="AW6" s="68"/>
    </row>
    <row r="7" spans="1:49">
      <c r="A7" s="28">
        <v>34759</v>
      </c>
      <c r="B7" s="29">
        <f t="shared" si="0"/>
        <v>3</v>
      </c>
      <c r="C7" s="29">
        <f t="shared" si="1"/>
        <v>1</v>
      </c>
      <c r="D7" s="29">
        <f t="shared" si="2"/>
        <v>1995</v>
      </c>
      <c r="E7" s="11">
        <v>50.686297922000001</v>
      </c>
      <c r="L7" s="23">
        <v>18.53913043478261</v>
      </c>
      <c r="M7" s="30">
        <v>92.47</v>
      </c>
      <c r="N7" s="30">
        <v>2.976142857142857</v>
      </c>
      <c r="O7" s="12">
        <v>160.50809523809525</v>
      </c>
      <c r="P7" s="12">
        <v>159.40047619047613</v>
      </c>
      <c r="Q7" s="12">
        <v>807.16217391304349</v>
      </c>
      <c r="R7" s="12">
        <v>493.15304347826083</v>
      </c>
      <c r="S7" s="34">
        <v>0.17</v>
      </c>
      <c r="AH7" s="3">
        <v>9091.1186369999996</v>
      </c>
      <c r="AI7" s="4">
        <v>141.5</v>
      </c>
      <c r="AT7" s="67"/>
      <c r="AU7" s="68"/>
      <c r="AV7" s="68"/>
      <c r="AW7" s="68"/>
    </row>
    <row r="8" spans="1:49">
      <c r="A8" s="28">
        <v>34790</v>
      </c>
      <c r="B8" s="29">
        <f t="shared" si="0"/>
        <v>4</v>
      </c>
      <c r="C8" s="29">
        <f t="shared" si="1"/>
        <v>2</v>
      </c>
      <c r="D8" s="29">
        <f t="shared" si="2"/>
        <v>1995</v>
      </c>
      <c r="E8" s="11">
        <v>51.150922319599999</v>
      </c>
      <c r="L8" s="23">
        <v>19.896315789473686</v>
      </c>
      <c r="M8" s="30">
        <v>90.55</v>
      </c>
      <c r="N8" s="30">
        <v>2.9589411764705882</v>
      </c>
      <c r="O8" s="12">
        <v>166.3595</v>
      </c>
      <c r="P8" s="12">
        <v>164.72450000000001</v>
      </c>
      <c r="Q8" s="12">
        <v>825.33842105263159</v>
      </c>
      <c r="R8" s="12">
        <v>507.90578947368414</v>
      </c>
      <c r="S8" s="34">
        <v>0.17</v>
      </c>
      <c r="AH8" s="3">
        <v>9656.7218200000007</v>
      </c>
      <c r="AI8" s="4">
        <v>142.69999999999999</v>
      </c>
      <c r="AT8" s="67"/>
      <c r="AU8" s="68"/>
      <c r="AV8" s="68"/>
      <c r="AW8" s="68"/>
    </row>
    <row r="9" spans="1:49">
      <c r="A9" s="28">
        <v>34820</v>
      </c>
      <c r="B9" s="29">
        <f t="shared" si="0"/>
        <v>5</v>
      </c>
      <c r="C9" s="29">
        <f t="shared" si="1"/>
        <v>2</v>
      </c>
      <c r="D9" s="29">
        <f t="shared" si="2"/>
        <v>1995</v>
      </c>
      <c r="E9" s="11">
        <v>51.657785298900002</v>
      </c>
      <c r="L9" s="23">
        <v>19.741818181818179</v>
      </c>
      <c r="M9" s="30">
        <v>90</v>
      </c>
      <c r="N9" s="30">
        <v>3.0042380952380956</v>
      </c>
      <c r="O9" s="12">
        <v>180.1638095238095</v>
      </c>
      <c r="P9" s="12">
        <v>176.94809523809522</v>
      </c>
      <c r="Q9" s="12">
        <v>859.77045454545453</v>
      </c>
      <c r="R9" s="12">
        <v>523.81363636363631</v>
      </c>
      <c r="S9" s="34">
        <v>0.17</v>
      </c>
      <c r="AH9" s="3">
        <v>9759.9675160000006</v>
      </c>
      <c r="AI9" s="4">
        <v>144.4</v>
      </c>
      <c r="AT9" s="67"/>
      <c r="AU9" s="68"/>
      <c r="AV9" s="68"/>
      <c r="AW9" s="68"/>
    </row>
    <row r="10" spans="1:49">
      <c r="A10" s="28">
        <v>34851</v>
      </c>
      <c r="B10" s="29">
        <f t="shared" si="0"/>
        <v>6</v>
      </c>
      <c r="C10" s="29">
        <f t="shared" si="1"/>
        <v>2</v>
      </c>
      <c r="D10" s="29">
        <f t="shared" si="2"/>
        <v>1995</v>
      </c>
      <c r="E10" s="11">
        <v>51.8267396253</v>
      </c>
      <c r="L10" s="23">
        <v>18.44590909090909</v>
      </c>
      <c r="M10" s="30">
        <v>90.01</v>
      </c>
      <c r="N10" s="30">
        <v>2.9810000000000003</v>
      </c>
      <c r="O10" s="12">
        <v>190.041</v>
      </c>
      <c r="P10" s="12">
        <v>188.32849999999999</v>
      </c>
      <c r="Q10" s="12">
        <v>906.03545454545463</v>
      </c>
      <c r="R10" s="12">
        <v>539.35409090909093</v>
      </c>
      <c r="S10" s="34">
        <v>0.17</v>
      </c>
      <c r="AH10" s="3">
        <v>8931.5007910000004</v>
      </c>
      <c r="AI10" s="4">
        <v>145.5</v>
      </c>
      <c r="AT10" s="67"/>
      <c r="AU10" s="68"/>
      <c r="AV10" s="68"/>
      <c r="AW10" s="68"/>
    </row>
    <row r="11" spans="1:49">
      <c r="A11" s="28">
        <v>34881</v>
      </c>
      <c r="B11" s="29">
        <f t="shared" si="0"/>
        <v>7</v>
      </c>
      <c r="C11" s="29">
        <f t="shared" si="1"/>
        <v>3</v>
      </c>
      <c r="D11" s="29">
        <f t="shared" si="2"/>
        <v>1995</v>
      </c>
      <c r="E11" s="11">
        <v>51.953455370100002</v>
      </c>
      <c r="L11" s="23">
        <v>17.325499999999998</v>
      </c>
      <c r="M11" s="30">
        <v>90.34</v>
      </c>
      <c r="N11" s="30">
        <v>2.9552857142857136</v>
      </c>
      <c r="O11" s="12">
        <v>191.66227272727272</v>
      </c>
      <c r="P11" s="12">
        <v>189.12181818181818</v>
      </c>
      <c r="Q11" s="12">
        <v>979.36399999999992</v>
      </c>
      <c r="R11" s="12">
        <v>557.36649999999997</v>
      </c>
      <c r="S11" s="34">
        <v>0.17</v>
      </c>
      <c r="AH11" s="3">
        <v>9076.1771370000006</v>
      </c>
      <c r="AI11" s="4">
        <v>148.69999999999999</v>
      </c>
      <c r="AT11" s="67"/>
      <c r="AU11" s="68"/>
      <c r="AV11" s="68"/>
      <c r="AW11" s="68"/>
    </row>
    <row r="12" spans="1:49">
      <c r="A12" s="28">
        <v>34912</v>
      </c>
      <c r="B12" s="29">
        <f t="shared" si="0"/>
        <v>8</v>
      </c>
      <c r="C12" s="29">
        <f t="shared" si="1"/>
        <v>3</v>
      </c>
      <c r="D12" s="29">
        <f t="shared" si="2"/>
        <v>1995</v>
      </c>
      <c r="E12" s="11">
        <v>52.587034094099998</v>
      </c>
      <c r="L12" s="23">
        <v>18.020869565217396</v>
      </c>
      <c r="M12" s="30">
        <v>91.14</v>
      </c>
      <c r="N12" s="30">
        <v>3.0307826086956529</v>
      </c>
      <c r="O12" s="12">
        <v>203.87954545454548</v>
      </c>
      <c r="P12" s="12">
        <v>201.32590909090914</v>
      </c>
      <c r="Q12" s="12">
        <v>1009.5860869565221</v>
      </c>
      <c r="R12" s="12">
        <v>559.1099999999999</v>
      </c>
      <c r="S12" s="34">
        <v>0.17</v>
      </c>
      <c r="AH12" s="3">
        <v>8273.9322580000007</v>
      </c>
      <c r="AI12" s="4">
        <v>151.80000000000001</v>
      </c>
      <c r="AT12" s="67"/>
      <c r="AU12" s="68"/>
      <c r="AV12" s="68"/>
      <c r="AW12" s="68"/>
    </row>
    <row r="13" spans="1:49">
      <c r="A13" s="28">
        <v>34943</v>
      </c>
      <c r="B13" s="29">
        <f t="shared" si="0"/>
        <v>9</v>
      </c>
      <c r="C13" s="29">
        <f t="shared" si="1"/>
        <v>3</v>
      </c>
      <c r="D13" s="29">
        <f t="shared" si="2"/>
        <v>1995</v>
      </c>
      <c r="E13" s="11">
        <v>53.093897073299999</v>
      </c>
      <c r="L13" s="23">
        <v>18.225500000000004</v>
      </c>
      <c r="M13" s="30">
        <v>91.74</v>
      </c>
      <c r="N13" s="30">
        <v>3.0355789473684203</v>
      </c>
      <c r="O13" s="12">
        <v>209.76764705882348</v>
      </c>
      <c r="P13" s="12">
        <v>206.19411764705882</v>
      </c>
      <c r="Q13" s="12">
        <v>1051</v>
      </c>
      <c r="R13" s="12">
        <v>578.76549999999997</v>
      </c>
      <c r="S13" s="34">
        <v>0.17</v>
      </c>
      <c r="AH13" s="3">
        <v>8989.8373229999997</v>
      </c>
      <c r="AI13" s="4">
        <v>151.9</v>
      </c>
      <c r="AT13" s="67"/>
      <c r="AU13" s="68"/>
      <c r="AV13" s="68"/>
      <c r="AW13" s="68"/>
    </row>
    <row r="14" spans="1:49">
      <c r="A14" s="28">
        <v>34973</v>
      </c>
      <c r="B14" s="29">
        <f t="shared" si="0"/>
        <v>10</v>
      </c>
      <c r="C14" s="29">
        <f t="shared" si="1"/>
        <v>4</v>
      </c>
      <c r="D14" s="29">
        <f t="shared" si="2"/>
        <v>1995</v>
      </c>
      <c r="E14" s="11">
        <v>53.642998634100003</v>
      </c>
      <c r="L14" s="23">
        <v>17.433181818181822</v>
      </c>
      <c r="M14" s="30">
        <v>93.07</v>
      </c>
      <c r="N14" s="30">
        <v>3.0102777777777781</v>
      </c>
      <c r="O14" s="12">
        <v>198.53705882352941</v>
      </c>
      <c r="P14" s="12">
        <v>194.45411764705878</v>
      </c>
      <c r="Q14" s="12">
        <v>1022.1481818181818</v>
      </c>
      <c r="R14" s="12">
        <v>582.91818181818167</v>
      </c>
      <c r="S14" s="34">
        <v>0.17</v>
      </c>
      <c r="AH14" s="3">
        <v>8529.6767779999991</v>
      </c>
      <c r="AI14" s="4">
        <v>153.5</v>
      </c>
      <c r="AT14" s="67"/>
      <c r="AU14" s="68"/>
      <c r="AV14" s="68"/>
      <c r="AW14" s="68"/>
    </row>
    <row r="15" spans="1:49">
      <c r="A15" s="28">
        <v>35004</v>
      </c>
      <c r="B15" s="29">
        <f t="shared" si="0"/>
        <v>11</v>
      </c>
      <c r="C15" s="29">
        <f t="shared" si="1"/>
        <v>4</v>
      </c>
      <c r="D15" s="29">
        <f t="shared" si="2"/>
        <v>1995</v>
      </c>
      <c r="E15" s="11">
        <v>54.023145868500002</v>
      </c>
      <c r="L15" s="23">
        <v>17.9925</v>
      </c>
      <c r="M15" s="30">
        <v>93.45</v>
      </c>
      <c r="N15" s="30">
        <v>3.0419999999999998</v>
      </c>
      <c r="O15" s="12">
        <v>195.40500000000003</v>
      </c>
      <c r="P15" s="12">
        <v>189.73863636363637</v>
      </c>
      <c r="Q15" s="12">
        <v>1046.6366666666668</v>
      </c>
      <c r="R15" s="12">
        <v>595.532380952381</v>
      </c>
      <c r="S15" s="34">
        <v>0.17</v>
      </c>
      <c r="AH15" s="3">
        <v>8409.2189309999994</v>
      </c>
      <c r="AI15" s="4">
        <v>157.9</v>
      </c>
      <c r="AT15" s="67"/>
      <c r="AU15" s="68"/>
      <c r="AV15" s="68"/>
      <c r="AW15" s="68"/>
    </row>
    <row r="16" spans="1:49">
      <c r="A16" s="28">
        <v>35034</v>
      </c>
      <c r="B16" s="29">
        <f t="shared" si="0"/>
        <v>12</v>
      </c>
      <c r="C16" s="29">
        <f t="shared" si="1"/>
        <v>4</v>
      </c>
      <c r="D16" s="29">
        <f t="shared" si="2"/>
        <v>1995</v>
      </c>
      <c r="E16" s="11">
        <v>54.6567245926</v>
      </c>
      <c r="H16" s="35"/>
      <c r="L16" s="23">
        <v>19.026500000000002</v>
      </c>
      <c r="M16" s="30">
        <v>93.23</v>
      </c>
      <c r="N16" s="30">
        <v>3.1197368421052629</v>
      </c>
      <c r="O16" s="12">
        <v>210.60380952380953</v>
      </c>
      <c r="P16" s="12">
        <v>203.42047619047619</v>
      </c>
      <c r="Q16" s="12">
        <v>1047.0350000000001</v>
      </c>
      <c r="R16" s="12">
        <v>614.57100000000014</v>
      </c>
      <c r="S16" s="34">
        <v>0.17</v>
      </c>
      <c r="AH16" s="3">
        <v>8307.3915469999993</v>
      </c>
      <c r="AI16" s="4">
        <v>162.69999999999999</v>
      </c>
      <c r="AT16" s="67"/>
      <c r="AU16" s="68"/>
      <c r="AV16" s="68"/>
      <c r="AW16" s="68"/>
    </row>
    <row r="17" spans="1:49">
      <c r="A17" s="28">
        <v>35065</v>
      </c>
      <c r="B17" s="29">
        <f t="shared" si="0"/>
        <v>1</v>
      </c>
      <c r="C17" s="29">
        <f t="shared" si="1"/>
        <v>1</v>
      </c>
      <c r="D17" s="29">
        <f t="shared" si="2"/>
        <v>1996</v>
      </c>
      <c r="E17" s="11">
        <v>55.121348990199998</v>
      </c>
      <c r="F17" s="36">
        <v>3615.7</v>
      </c>
      <c r="G17" s="36">
        <v>3420.2</v>
      </c>
      <c r="H17" s="37">
        <v>2420</v>
      </c>
      <c r="I17" s="38">
        <v>703</v>
      </c>
      <c r="L17" s="23">
        <v>18.854545454545452</v>
      </c>
      <c r="M17" s="30">
        <v>92.65</v>
      </c>
      <c r="N17" s="30">
        <v>3.1295454545454544</v>
      </c>
      <c r="O17" s="12">
        <v>218.74565217391307</v>
      </c>
      <c r="P17" s="12">
        <v>210.57173913043479</v>
      </c>
      <c r="Q17" s="12">
        <v>1024.9454545454544</v>
      </c>
      <c r="R17" s="12">
        <v>614.42000000000007</v>
      </c>
      <c r="S17" s="34">
        <v>0.17</v>
      </c>
      <c r="X17" s="23">
        <f>[1]ישיר!D6/1000</f>
        <v>4094.2359999999999</v>
      </c>
      <c r="Y17" s="23">
        <v>2775.4259999999999</v>
      </c>
      <c r="Z17" s="23">
        <f>[1]עקיף!H6</f>
        <v>703</v>
      </c>
      <c r="AA17" s="23">
        <f>[1]עקיף!P6</f>
        <v>465</v>
      </c>
      <c r="AB17" s="23">
        <f>[1]עקיף!Q6</f>
        <v>3588</v>
      </c>
      <c r="AH17" s="3">
        <v>9177.2916819999991</v>
      </c>
      <c r="AI17" s="4">
        <v>164.7</v>
      </c>
      <c r="AT17" s="67"/>
      <c r="AU17" s="68"/>
      <c r="AV17" s="68"/>
      <c r="AW17" s="68"/>
    </row>
    <row r="18" spans="1:49">
      <c r="A18" s="28">
        <v>35096</v>
      </c>
      <c r="B18" s="29">
        <f t="shared" si="0"/>
        <v>2</v>
      </c>
      <c r="C18" s="29">
        <f t="shared" si="1"/>
        <v>1</v>
      </c>
      <c r="D18" s="29">
        <f t="shared" si="2"/>
        <v>1996</v>
      </c>
      <c r="E18" s="11">
        <v>55.628211969399999</v>
      </c>
      <c r="F18" s="36">
        <v>4442.8999999999996</v>
      </c>
      <c r="G18" s="36">
        <v>3114</v>
      </c>
      <c r="H18" s="37">
        <v>1999</v>
      </c>
      <c r="I18" s="38">
        <v>637</v>
      </c>
      <c r="L18" s="23">
        <v>19.093499999999999</v>
      </c>
      <c r="M18" s="30">
        <v>93.56</v>
      </c>
      <c r="N18" s="30">
        <v>3.1131428571428574</v>
      </c>
      <c r="O18" s="12">
        <v>215.5404761904762</v>
      </c>
      <c r="P18" s="12">
        <v>206.92809523809518</v>
      </c>
      <c r="Q18" s="12">
        <v>1094.0165000000002</v>
      </c>
      <c r="R18" s="12">
        <v>649.54200000000014</v>
      </c>
      <c r="S18" s="34">
        <v>0.17</v>
      </c>
      <c r="X18" s="23">
        <f>[1]ישיר!D7/1000</f>
        <v>4438.3059999999996</v>
      </c>
      <c r="Y18" s="23">
        <v>2717.37</v>
      </c>
      <c r="Z18" s="23">
        <f>[1]עקיף!H7</f>
        <v>637</v>
      </c>
      <c r="AA18" s="23">
        <f>[1]עקיף!P7</f>
        <v>450</v>
      </c>
      <c r="AB18" s="23">
        <f>[1]עקיף!Q7</f>
        <v>3086</v>
      </c>
      <c r="AH18" s="3">
        <v>10024.639816000001</v>
      </c>
      <c r="AI18" s="4">
        <v>164.7</v>
      </c>
      <c r="AT18" s="67"/>
      <c r="AU18" s="68"/>
      <c r="AV18" s="68"/>
      <c r="AW18" s="68"/>
    </row>
    <row r="19" spans="1:49">
      <c r="A19" s="28">
        <v>35125</v>
      </c>
      <c r="B19" s="29">
        <f t="shared" si="0"/>
        <v>3</v>
      </c>
      <c r="C19" s="29">
        <f t="shared" si="1"/>
        <v>1</v>
      </c>
      <c r="D19" s="29">
        <f t="shared" si="2"/>
        <v>1996</v>
      </c>
      <c r="E19" s="11">
        <v>56.177313530200003</v>
      </c>
      <c r="F19" s="36">
        <v>4408.6000000000004</v>
      </c>
      <c r="G19" s="36">
        <v>3707.4</v>
      </c>
      <c r="H19" s="37">
        <v>2465</v>
      </c>
      <c r="I19" s="38">
        <v>726</v>
      </c>
      <c r="L19" s="23">
        <v>21.332380952380952</v>
      </c>
      <c r="M19" s="30">
        <v>94.75</v>
      </c>
      <c r="N19" s="30">
        <v>3.0991052631578939</v>
      </c>
      <c r="O19" s="12">
        <v>210.08199999999997</v>
      </c>
      <c r="P19" s="12">
        <v>200.44049999999999</v>
      </c>
      <c r="Q19" s="12">
        <v>1092.6471428571431</v>
      </c>
      <c r="R19" s="12">
        <v>647.07476190476189</v>
      </c>
      <c r="S19" s="34">
        <v>0.17</v>
      </c>
      <c r="X19" s="23">
        <f>[1]ישיר!D8/1000</f>
        <v>4409.5209999999997</v>
      </c>
      <c r="Y19" s="23">
        <v>2903.4740000000002</v>
      </c>
      <c r="Z19" s="23">
        <f>[1]עקיף!H8</f>
        <v>726</v>
      </c>
      <c r="AA19" s="23">
        <f>[1]עקיף!P8</f>
        <v>481</v>
      </c>
      <c r="AB19" s="23">
        <f>[1]עקיף!Q8</f>
        <v>3672</v>
      </c>
      <c r="AH19" s="3">
        <v>9836.6582130000006</v>
      </c>
      <c r="AI19" s="4">
        <v>167</v>
      </c>
      <c r="AT19" s="67"/>
      <c r="AU19" s="68"/>
      <c r="AV19" s="68"/>
      <c r="AW19" s="68"/>
    </row>
    <row r="20" spans="1:49">
      <c r="A20" s="28">
        <v>35156</v>
      </c>
      <c r="B20" s="29">
        <f t="shared" si="0"/>
        <v>4</v>
      </c>
      <c r="C20" s="29">
        <f t="shared" si="1"/>
        <v>2</v>
      </c>
      <c r="D20" s="29">
        <f t="shared" si="2"/>
        <v>1996</v>
      </c>
      <c r="E20" s="11">
        <v>57.106562325500001</v>
      </c>
      <c r="F20" s="36">
        <v>4051.2</v>
      </c>
      <c r="G20" s="36">
        <v>3154.1</v>
      </c>
      <c r="H20" s="37">
        <v>2331</v>
      </c>
      <c r="I20" s="38">
        <v>605</v>
      </c>
      <c r="L20" s="23">
        <v>23.497142857142858</v>
      </c>
      <c r="M20" s="30">
        <v>95.95</v>
      </c>
      <c r="N20" s="30">
        <v>3.1648750000000003</v>
      </c>
      <c r="O20" s="12">
        <v>205.92687500000002</v>
      </c>
      <c r="P20" s="12">
        <v>195.68</v>
      </c>
      <c r="Q20" s="12">
        <v>1135.6280952380951</v>
      </c>
      <c r="R20" s="12">
        <v>647.17285714285708</v>
      </c>
      <c r="S20" s="34">
        <v>0.17</v>
      </c>
      <c r="X20" s="23">
        <f>[1]ישיר!D9/1000</f>
        <v>4015.9549999999999</v>
      </c>
      <c r="Y20" s="23">
        <v>2703.7840000000001</v>
      </c>
      <c r="Z20" s="23">
        <f>[1]עקיף!H9</f>
        <v>605</v>
      </c>
      <c r="AA20" s="23">
        <f>[1]עקיף!P9</f>
        <v>437</v>
      </c>
      <c r="AB20" s="23">
        <f>[1]עקיף!Q9</f>
        <v>3373</v>
      </c>
      <c r="AH20" s="3">
        <v>9589.8174569999992</v>
      </c>
      <c r="AI20" s="4">
        <v>171.8</v>
      </c>
      <c r="AT20" s="67"/>
      <c r="AU20" s="68"/>
      <c r="AV20" s="68"/>
      <c r="AW20" s="68"/>
    </row>
    <row r="21" spans="1:49">
      <c r="A21" s="28">
        <v>35186</v>
      </c>
      <c r="B21" s="29">
        <f t="shared" si="0"/>
        <v>5</v>
      </c>
      <c r="C21" s="29">
        <f t="shared" si="1"/>
        <v>2</v>
      </c>
      <c r="D21" s="29">
        <f t="shared" si="2"/>
        <v>1996</v>
      </c>
      <c r="E21" s="11">
        <v>58.0780497023</v>
      </c>
      <c r="F21" s="36">
        <v>4320.3</v>
      </c>
      <c r="G21" s="36">
        <v>3605.4</v>
      </c>
      <c r="H21" s="37">
        <v>2380</v>
      </c>
      <c r="I21" s="38">
        <v>715</v>
      </c>
      <c r="L21" s="23">
        <v>21.165454545454541</v>
      </c>
      <c r="M21" s="30">
        <v>95.81</v>
      </c>
      <c r="N21" s="30">
        <v>3.2527500000000003</v>
      </c>
      <c r="O21" s="12">
        <v>215.14400000000001</v>
      </c>
      <c r="P21" s="12">
        <v>203.9375</v>
      </c>
      <c r="Q21" s="12">
        <v>1220.5404545454546</v>
      </c>
      <c r="R21" s="12">
        <v>661.23045454545468</v>
      </c>
      <c r="S21" s="34">
        <v>0.17</v>
      </c>
      <c r="X21" s="23">
        <f>[1]ישיר!D10/1000</f>
        <v>4388.4740000000002</v>
      </c>
      <c r="Y21" s="23">
        <v>2.9243000000000001</v>
      </c>
      <c r="Z21" s="23">
        <f>[1]עקיף!H10</f>
        <v>715</v>
      </c>
      <c r="AA21" s="23">
        <f>[1]עקיף!P10</f>
        <v>542</v>
      </c>
      <c r="AB21" s="23">
        <f>[1]עקיף!Q10</f>
        <v>3637</v>
      </c>
      <c r="AH21" s="3">
        <v>9373.0642640000005</v>
      </c>
      <c r="AI21" s="4">
        <v>175.3</v>
      </c>
      <c r="AT21" s="67"/>
      <c r="AU21" s="68"/>
      <c r="AV21" s="68"/>
      <c r="AW21" s="68"/>
    </row>
    <row r="22" spans="1:49">
      <c r="A22" s="28">
        <v>35217</v>
      </c>
      <c r="B22" s="29">
        <f t="shared" si="0"/>
        <v>6</v>
      </c>
      <c r="C22" s="29">
        <f t="shared" si="1"/>
        <v>2</v>
      </c>
      <c r="D22" s="29">
        <f t="shared" si="2"/>
        <v>1996</v>
      </c>
      <c r="E22" s="11">
        <v>58.500435518300002</v>
      </c>
      <c r="F22" s="36">
        <v>4207.7</v>
      </c>
      <c r="G22" s="36">
        <v>3213.1</v>
      </c>
      <c r="H22" s="37">
        <v>2114.5</v>
      </c>
      <c r="I22" s="38">
        <v>704.2</v>
      </c>
      <c r="L22" s="23">
        <v>20.423500000000004</v>
      </c>
      <c r="M22" s="30">
        <v>95.23</v>
      </c>
      <c r="N22" s="30">
        <v>3.2555000000000001</v>
      </c>
      <c r="O22" s="12">
        <v>214.71380952380954</v>
      </c>
      <c r="P22" s="12">
        <v>203.20142857142855</v>
      </c>
      <c r="Q22" s="12">
        <v>1205.0754999999997</v>
      </c>
      <c r="R22" s="12">
        <v>668.49899999999991</v>
      </c>
      <c r="S22" s="34">
        <v>0.17</v>
      </c>
      <c r="X22" s="23">
        <f>[1]ישיר!D11/1000</f>
        <v>3910.0479999999998</v>
      </c>
      <c r="Y22" s="23">
        <v>2543.9340000000002</v>
      </c>
      <c r="Z22" s="23">
        <f>[1]עקיף!H11</f>
        <v>704.2</v>
      </c>
      <c r="AA22" s="23">
        <f>[1]עקיף!P11</f>
        <v>458</v>
      </c>
      <c r="AB22" s="23">
        <f>[1]עקיף!Q11</f>
        <v>3276.7</v>
      </c>
      <c r="AH22" s="3">
        <v>9007.1595969999998</v>
      </c>
      <c r="AI22" s="4">
        <v>174.6</v>
      </c>
      <c r="AT22" s="67"/>
      <c r="AU22" s="68"/>
      <c r="AV22" s="68"/>
      <c r="AW22" s="68"/>
    </row>
    <row r="23" spans="1:49">
      <c r="A23" s="28">
        <v>35247</v>
      </c>
      <c r="B23" s="29">
        <f t="shared" si="0"/>
        <v>7</v>
      </c>
      <c r="C23" s="29">
        <f t="shared" si="1"/>
        <v>3</v>
      </c>
      <c r="D23" s="29">
        <f t="shared" si="2"/>
        <v>1996</v>
      </c>
      <c r="E23" s="11">
        <v>58.6693898447</v>
      </c>
      <c r="F23" s="36">
        <v>4586.8</v>
      </c>
      <c r="G23" s="36">
        <v>3898.4</v>
      </c>
      <c r="H23" s="37">
        <v>2742.1</v>
      </c>
      <c r="I23" s="38">
        <v>603.19999999999993</v>
      </c>
      <c r="L23" s="23">
        <v>21.302272727272729</v>
      </c>
      <c r="M23" s="30">
        <v>95.69</v>
      </c>
      <c r="N23" s="30">
        <v>3.1794761904761906</v>
      </c>
      <c r="O23" s="12">
        <v>193.38714285714283</v>
      </c>
      <c r="P23" s="12">
        <v>182.4433333333333</v>
      </c>
      <c r="Q23" s="12">
        <v>1105.6127272727272</v>
      </c>
      <c r="R23" s="12">
        <v>644.0704545454546</v>
      </c>
      <c r="S23" s="34">
        <v>0.17</v>
      </c>
      <c r="X23" s="23">
        <f>[1]ישיר!D12/1000</f>
        <v>4803.6930000000002</v>
      </c>
      <c r="Y23" s="23">
        <v>3308.0430000000001</v>
      </c>
      <c r="Z23" s="23">
        <f>[1]עקיף!H12</f>
        <v>603.19999999999993</v>
      </c>
      <c r="AA23" s="23">
        <f>[1]עקיף!P12</f>
        <v>588.90000000000009</v>
      </c>
      <c r="AB23" s="23">
        <f>[1]עקיף!Q12</f>
        <v>3934.2</v>
      </c>
      <c r="AH23" s="3">
        <v>9052.0327159999997</v>
      </c>
      <c r="AI23" s="4">
        <v>171.6</v>
      </c>
      <c r="AT23" s="67"/>
      <c r="AU23" s="68"/>
      <c r="AV23" s="68"/>
      <c r="AW23" s="68"/>
    </row>
    <row r="24" spans="1:49">
      <c r="A24" s="28">
        <v>35278</v>
      </c>
      <c r="B24" s="29">
        <f t="shared" si="0"/>
        <v>8</v>
      </c>
      <c r="C24" s="29">
        <f t="shared" si="1"/>
        <v>3</v>
      </c>
      <c r="D24" s="29">
        <f t="shared" si="2"/>
        <v>1996</v>
      </c>
      <c r="E24" s="11">
        <v>58.880582752700001</v>
      </c>
      <c r="F24" s="36">
        <v>4064.2</v>
      </c>
      <c r="G24" s="36">
        <v>3144</v>
      </c>
      <c r="H24" s="37">
        <v>2052.1000000000004</v>
      </c>
      <c r="I24" s="38">
        <v>614.71</v>
      </c>
      <c r="L24" s="23">
        <v>21.903181818181817</v>
      </c>
      <c r="M24" s="30">
        <v>97.73</v>
      </c>
      <c r="N24" s="30">
        <v>3.1461363636363631</v>
      </c>
      <c r="O24" s="12">
        <v>187.31047619047618</v>
      </c>
      <c r="P24" s="12">
        <v>176.91</v>
      </c>
      <c r="Q24" s="12">
        <v>1134.245909090909</v>
      </c>
      <c r="R24" s="12">
        <v>662.68227272727268</v>
      </c>
      <c r="S24" s="34">
        <v>0.17</v>
      </c>
      <c r="X24" s="23">
        <f>[1]ישיר!D13/1000</f>
        <v>4111.3490000000002</v>
      </c>
      <c r="Y24" s="23">
        <v>2987.9380000000001</v>
      </c>
      <c r="Z24" s="23">
        <f>[1]עקיף!H13</f>
        <v>614.71</v>
      </c>
      <c r="AA24" s="23">
        <f>[1]עקיף!P13</f>
        <v>531.5</v>
      </c>
      <c r="AB24" s="23">
        <f>[1]עקיף!Q13</f>
        <v>3198.3100000000004</v>
      </c>
      <c r="AH24" s="3">
        <v>9655.0439289999995</v>
      </c>
      <c r="AI24" s="4">
        <v>170.8</v>
      </c>
      <c r="AT24" s="67"/>
      <c r="AU24" s="68"/>
      <c r="AV24" s="68"/>
      <c r="AW24" s="68"/>
    </row>
    <row r="25" spans="1:49">
      <c r="A25" s="28">
        <v>35309</v>
      </c>
      <c r="B25" s="29">
        <f t="shared" si="0"/>
        <v>9</v>
      </c>
      <c r="C25" s="29">
        <f t="shared" si="1"/>
        <v>3</v>
      </c>
      <c r="D25" s="29">
        <f t="shared" si="2"/>
        <v>1996</v>
      </c>
      <c r="E25" s="11">
        <v>59.134014242299997</v>
      </c>
      <c r="F25" s="36">
        <v>4635.3999999999996</v>
      </c>
      <c r="G25" s="36">
        <v>3911.4</v>
      </c>
      <c r="H25" s="37">
        <v>2669.6</v>
      </c>
      <c r="I25" s="38">
        <v>621.95000000000005</v>
      </c>
      <c r="L25" s="23">
        <v>23.971500000000002</v>
      </c>
      <c r="M25" s="30">
        <v>98.46</v>
      </c>
      <c r="N25" s="30">
        <v>3.1668947368421052</v>
      </c>
      <c r="O25" s="12">
        <v>199.20684210526321</v>
      </c>
      <c r="P25" s="12">
        <v>189.71421052631581</v>
      </c>
      <c r="Q25" s="12">
        <v>1186.4419999999998</v>
      </c>
      <c r="R25" s="12">
        <v>674.88550000000009</v>
      </c>
      <c r="S25" s="34">
        <v>0.17</v>
      </c>
      <c r="X25" s="23">
        <f>[1]ישיר!D14/1000</f>
        <v>4618.3239999999996</v>
      </c>
      <c r="Y25" s="23">
        <v>3198.9589999999998</v>
      </c>
      <c r="Z25" s="23">
        <f>[1]עקיף!H14</f>
        <v>621.95000000000005</v>
      </c>
      <c r="AA25" s="23">
        <f>[1]עקיף!P14</f>
        <v>540.69999999999993</v>
      </c>
      <c r="AB25" s="23">
        <f>[1]עקיף!Q14</f>
        <v>3832.25</v>
      </c>
      <c r="AH25" s="3">
        <v>10367.669818</v>
      </c>
      <c r="AI25" s="4">
        <v>173.5</v>
      </c>
      <c r="AT25" s="67"/>
      <c r="AU25" s="68"/>
      <c r="AV25" s="68"/>
      <c r="AW25" s="68"/>
    </row>
    <row r="26" spans="1:49">
      <c r="A26" s="28">
        <v>35339</v>
      </c>
      <c r="B26" s="29">
        <f t="shared" si="0"/>
        <v>10</v>
      </c>
      <c r="C26" s="29">
        <f t="shared" si="1"/>
        <v>4</v>
      </c>
      <c r="D26" s="29">
        <f t="shared" si="2"/>
        <v>1996</v>
      </c>
      <c r="E26" s="11">
        <v>59.598638639999997</v>
      </c>
      <c r="F26" s="36">
        <v>3910.4</v>
      </c>
      <c r="G26" s="36">
        <v>3438.5</v>
      </c>
      <c r="H26" s="37">
        <v>2183.5</v>
      </c>
      <c r="I26" s="38">
        <v>712.98</v>
      </c>
      <c r="L26" s="23">
        <v>24.87913043478261</v>
      </c>
      <c r="M26" s="30">
        <v>98.48</v>
      </c>
      <c r="N26" s="30">
        <v>3.2253478260869564</v>
      </c>
      <c r="O26" s="12">
        <v>195.83608695652177</v>
      </c>
      <c r="P26" s="12">
        <v>185.80521739130435</v>
      </c>
      <c r="Q26" s="12">
        <v>1234.0421739130434</v>
      </c>
      <c r="R26" s="12">
        <v>701.45565217391311</v>
      </c>
      <c r="S26" s="34">
        <v>0.17</v>
      </c>
      <c r="X26" s="23">
        <f>[1]ישיר!D15/1000</f>
        <v>3945.0929999999998</v>
      </c>
      <c r="Y26" s="23">
        <v>2735.4340000000002</v>
      </c>
      <c r="Z26" s="23">
        <f>[1]עקיף!H15</f>
        <v>712.98</v>
      </c>
      <c r="AA26" s="23">
        <f>[1]עקיף!P15</f>
        <v>564</v>
      </c>
      <c r="AB26" s="23">
        <f>[1]עקיף!Q15</f>
        <v>3460.48</v>
      </c>
      <c r="AH26" s="3">
        <v>11819.771939</v>
      </c>
      <c r="AI26" s="4">
        <v>176.4</v>
      </c>
      <c r="AT26" s="67"/>
      <c r="AU26" s="68"/>
      <c r="AV26" s="68"/>
      <c r="AW26" s="68"/>
    </row>
    <row r="27" spans="1:49">
      <c r="A27" s="28">
        <v>35370</v>
      </c>
      <c r="B27" s="29">
        <f t="shared" si="0"/>
        <v>11</v>
      </c>
      <c r="C27" s="29">
        <f t="shared" si="1"/>
        <v>4</v>
      </c>
      <c r="D27" s="29">
        <f t="shared" si="2"/>
        <v>1996</v>
      </c>
      <c r="E27" s="11">
        <v>59.978785874400003</v>
      </c>
      <c r="F27" s="36">
        <v>4498.2</v>
      </c>
      <c r="G27" s="36">
        <v>3484.4</v>
      </c>
      <c r="H27" s="37">
        <v>2424.9</v>
      </c>
      <c r="I27" s="38">
        <v>611.32499999999993</v>
      </c>
      <c r="L27" s="23">
        <v>23.704999999999995</v>
      </c>
      <c r="M27" s="30">
        <v>97.67</v>
      </c>
      <c r="N27" s="30">
        <v>3.2443809523809519</v>
      </c>
      <c r="O27" s="12">
        <v>203.38550000000004</v>
      </c>
      <c r="P27" s="12">
        <v>193.69400000000002</v>
      </c>
      <c r="Q27" s="12">
        <v>1259.8309999999997</v>
      </c>
      <c r="R27" s="12">
        <v>735.6690000000001</v>
      </c>
      <c r="S27" s="34">
        <v>0.17</v>
      </c>
      <c r="X27" s="23">
        <f>[1]ישיר!D16/1000</f>
        <v>4513.8329999999996</v>
      </c>
      <c r="Y27" s="23">
        <v>3072.4940000000001</v>
      </c>
      <c r="Z27" s="23">
        <f>[1]עקיף!H16</f>
        <v>611.32499999999993</v>
      </c>
      <c r="AA27" s="23">
        <f>[1]עקיף!P16</f>
        <v>460.5</v>
      </c>
      <c r="AB27" s="23">
        <f>[1]עקיף!Q16</f>
        <v>3496.7249999999999</v>
      </c>
      <c r="AH27" s="3">
        <v>11409.307773</v>
      </c>
      <c r="AI27" s="4">
        <v>177.1</v>
      </c>
      <c r="AT27" s="67"/>
      <c r="AU27" s="68"/>
      <c r="AV27" s="68"/>
      <c r="AW27" s="68"/>
    </row>
    <row r="28" spans="1:49">
      <c r="A28" s="28">
        <v>35400</v>
      </c>
      <c r="B28" s="29">
        <f t="shared" si="0"/>
        <v>12</v>
      </c>
      <c r="C28" s="29">
        <f t="shared" si="1"/>
        <v>4</v>
      </c>
      <c r="D28" s="29">
        <f t="shared" si="2"/>
        <v>1996</v>
      </c>
      <c r="E28" s="11">
        <v>60.443410272000001</v>
      </c>
      <c r="F28" s="36">
        <v>4054.2</v>
      </c>
      <c r="G28" s="36">
        <v>4160.3219999999974</v>
      </c>
      <c r="H28" s="37">
        <v>2089.8000000000002</v>
      </c>
      <c r="I28" s="38">
        <v>759.798</v>
      </c>
      <c r="L28" s="23">
        <v>25.228571428571431</v>
      </c>
      <c r="M28" s="30">
        <v>96.83</v>
      </c>
      <c r="N28" s="30">
        <v>3.2764736842105262</v>
      </c>
      <c r="O28" s="12">
        <v>215.16409090909093</v>
      </c>
      <c r="P28" s="12">
        <v>206.18636363636369</v>
      </c>
      <c r="Q28" s="12">
        <v>1292.1509523809525</v>
      </c>
      <c r="R28" s="12">
        <v>743.24904761904781</v>
      </c>
      <c r="S28" s="34">
        <v>0.17</v>
      </c>
      <c r="X28" s="23">
        <f>[1]ישיר!D17/1000</f>
        <v>3749.6460000000002</v>
      </c>
      <c r="Y28" s="23">
        <v>2833.59</v>
      </c>
      <c r="Z28" s="23">
        <f>[1]עקיף!H17</f>
        <v>759.798</v>
      </c>
      <c r="AA28" s="23">
        <f>[1]עקיף!P17</f>
        <v>847</v>
      </c>
      <c r="AB28" s="23">
        <f>[1]עקיף!Q17</f>
        <v>3696.598</v>
      </c>
      <c r="AH28" s="3">
        <v>11574.639929999999</v>
      </c>
      <c r="AI28" s="4">
        <v>178.4</v>
      </c>
      <c r="AT28" s="67"/>
      <c r="AU28" s="68"/>
      <c r="AV28" s="68"/>
      <c r="AW28" s="68"/>
    </row>
    <row r="29" spans="1:49">
      <c r="A29" s="28">
        <v>35431</v>
      </c>
      <c r="B29" s="29">
        <f t="shared" si="0"/>
        <v>1</v>
      </c>
      <c r="C29" s="29">
        <f t="shared" si="1"/>
        <v>1</v>
      </c>
      <c r="D29" s="29">
        <f t="shared" si="2"/>
        <v>1997</v>
      </c>
      <c r="E29" s="11">
        <v>60.696841761599998</v>
      </c>
      <c r="F29" s="36">
        <v>4752.8999999999996</v>
      </c>
      <c r="G29" s="36">
        <v>3986.3</v>
      </c>
      <c r="H29" s="37">
        <v>2881.4000000000005</v>
      </c>
      <c r="I29" s="38">
        <v>611.5</v>
      </c>
      <c r="L29" s="23">
        <v>25.131818181818179</v>
      </c>
      <c r="M29" s="30">
        <v>97.6</v>
      </c>
      <c r="N29" s="30">
        <v>3.276136363636363</v>
      </c>
      <c r="O29" s="12">
        <v>242.94428571428571</v>
      </c>
      <c r="P29" s="12">
        <v>234.48571428571427</v>
      </c>
      <c r="Q29" s="12">
        <v>1345.4145454545453</v>
      </c>
      <c r="R29" s="12">
        <v>766.21681818181821</v>
      </c>
      <c r="S29" s="34">
        <v>0.17</v>
      </c>
      <c r="X29" s="23">
        <f>[1]ישיר!D18/1000</f>
        <v>5125.5870000000004</v>
      </c>
      <c r="Y29" s="23">
        <v>3493.2190000000001</v>
      </c>
      <c r="Z29" s="23">
        <f>[1]עקיף!H18</f>
        <v>611.5</v>
      </c>
      <c r="AA29" s="23">
        <f>[1]עקיף!P18</f>
        <v>593</v>
      </c>
      <c r="AB29" s="23">
        <f>[1]עקיף!Q18</f>
        <v>4085.9000000000005</v>
      </c>
      <c r="AH29" s="3">
        <v>12898.555698</v>
      </c>
      <c r="AI29" s="4">
        <v>181.8</v>
      </c>
      <c r="AT29" s="67"/>
      <c r="AU29" s="68"/>
      <c r="AV29" s="68"/>
      <c r="AW29" s="68"/>
    </row>
    <row r="30" spans="1:49">
      <c r="A30" s="28">
        <v>35462</v>
      </c>
      <c r="B30" s="29">
        <f t="shared" si="0"/>
        <v>2</v>
      </c>
      <c r="C30" s="29">
        <f t="shared" si="1"/>
        <v>1</v>
      </c>
      <c r="D30" s="29">
        <f t="shared" si="2"/>
        <v>1997</v>
      </c>
      <c r="E30" s="11">
        <v>61.4148976488</v>
      </c>
      <c r="F30" s="36">
        <v>4900.3999999999996</v>
      </c>
      <c r="G30" s="36">
        <v>3227.5</v>
      </c>
      <c r="H30" s="37">
        <v>2186.8999999999996</v>
      </c>
      <c r="I30" s="38">
        <v>612.1</v>
      </c>
      <c r="L30" s="23">
        <v>22.176315789473687</v>
      </c>
      <c r="M30" s="30">
        <v>99.31</v>
      </c>
      <c r="N30" s="30">
        <v>3.3366470588235289</v>
      </c>
      <c r="O30" s="12">
        <v>266.54349999999999</v>
      </c>
      <c r="P30" s="12">
        <v>258.34800000000007</v>
      </c>
      <c r="Q30" s="12">
        <v>1349.17</v>
      </c>
      <c r="R30" s="12">
        <v>798.38421052631588</v>
      </c>
      <c r="S30" s="34">
        <v>0.17</v>
      </c>
      <c r="X30" s="23">
        <f>[1]ישיר!D19/1000</f>
        <v>5129.9620000000004</v>
      </c>
      <c r="Y30" s="23">
        <v>3207.1039999999998</v>
      </c>
      <c r="Z30" s="23">
        <f>[1]עקיף!H19</f>
        <v>612.1</v>
      </c>
      <c r="AA30" s="23">
        <f>[1]עקיף!P19</f>
        <v>498.2</v>
      </c>
      <c r="AB30" s="23">
        <f>[1]עקיף!Q19</f>
        <v>3297.2</v>
      </c>
      <c r="AH30" s="3">
        <v>14069.488278999999</v>
      </c>
      <c r="AI30" s="4">
        <v>183</v>
      </c>
      <c r="AT30" s="67"/>
      <c r="AU30" s="68"/>
      <c r="AV30" s="68"/>
      <c r="AW30" s="68"/>
    </row>
    <row r="31" spans="1:49">
      <c r="A31" s="28">
        <v>35490</v>
      </c>
      <c r="B31" s="29">
        <f t="shared" si="0"/>
        <v>3</v>
      </c>
      <c r="C31" s="29">
        <f t="shared" si="1"/>
        <v>1</v>
      </c>
      <c r="D31" s="29">
        <f t="shared" si="2"/>
        <v>1997</v>
      </c>
      <c r="E31" s="11">
        <v>62.006237791300002</v>
      </c>
      <c r="F31" s="36">
        <v>5037.8999999999996</v>
      </c>
      <c r="G31" s="36">
        <v>4297.1000000000004</v>
      </c>
      <c r="H31" s="37">
        <v>2999.6000000000004</v>
      </c>
      <c r="I31" s="38">
        <v>778.59999999999991</v>
      </c>
      <c r="L31" s="23">
        <v>20.965</v>
      </c>
      <c r="M31" s="30">
        <v>100.68</v>
      </c>
      <c r="N31" s="30">
        <v>3.3665555555555553</v>
      </c>
      <c r="O31" s="12">
        <v>255.57761904761901</v>
      </c>
      <c r="P31" s="12">
        <v>247.98523809523812</v>
      </c>
      <c r="Q31" s="12">
        <v>1282.8555000000001</v>
      </c>
      <c r="R31" s="12">
        <v>792.15550000000007</v>
      </c>
      <c r="S31" s="34">
        <v>0.17</v>
      </c>
      <c r="X31" s="23">
        <f>[1]ישיר!D20/1000</f>
        <v>5076.0069999999996</v>
      </c>
      <c r="Y31" s="23">
        <v>3338.114</v>
      </c>
      <c r="Z31" s="23">
        <f>[1]עקיף!H20</f>
        <v>778.59999999999991</v>
      </c>
      <c r="AA31" s="23">
        <f>[1]עקיף!P20</f>
        <v>627.1</v>
      </c>
      <c r="AB31" s="23">
        <f>[1]עקיף!Q20</f>
        <v>4405.3</v>
      </c>
      <c r="AH31" s="3">
        <v>15521.296194</v>
      </c>
      <c r="AI31" s="4">
        <v>183.2</v>
      </c>
      <c r="AT31" s="67"/>
      <c r="AU31" s="68"/>
      <c r="AV31" s="68"/>
      <c r="AW31" s="68"/>
    </row>
    <row r="32" spans="1:49">
      <c r="A32" s="28">
        <v>35521</v>
      </c>
      <c r="B32" s="29">
        <f t="shared" si="0"/>
        <v>4</v>
      </c>
      <c r="C32" s="29">
        <f t="shared" si="1"/>
        <v>2</v>
      </c>
      <c r="D32" s="29">
        <f t="shared" si="2"/>
        <v>1997</v>
      </c>
      <c r="E32" s="11">
        <v>62.4708621889</v>
      </c>
      <c r="F32" s="36">
        <v>4848.6000000000004</v>
      </c>
      <c r="G32" s="36">
        <v>3401.2</v>
      </c>
      <c r="H32" s="37">
        <v>2283.1000000000004</v>
      </c>
      <c r="I32" s="38">
        <v>636.4</v>
      </c>
      <c r="L32" s="23">
        <v>19.695454545454545</v>
      </c>
      <c r="M32" s="30">
        <v>101.28</v>
      </c>
      <c r="N32" s="30">
        <v>3.3899473684210522</v>
      </c>
      <c r="O32" s="12">
        <v>262.05388888888888</v>
      </c>
      <c r="P32" s="12">
        <v>252.45722222222219</v>
      </c>
      <c r="Q32" s="12">
        <v>1225.0036363636364</v>
      </c>
      <c r="R32" s="12">
        <v>763.92818181818188</v>
      </c>
      <c r="S32" s="34">
        <v>0.17</v>
      </c>
      <c r="X32" s="23">
        <f>[1]ישיר!D21/1000</f>
        <v>4837.1819999999998</v>
      </c>
      <c r="Y32" s="23">
        <v>3136.7</v>
      </c>
      <c r="Z32" s="23">
        <f>[1]עקיף!H21</f>
        <v>636.4</v>
      </c>
      <c r="AA32" s="23">
        <f>[1]עקיף!P21</f>
        <v>532.29999999999995</v>
      </c>
      <c r="AB32" s="23">
        <f>[1]עקיף!Q21</f>
        <v>3451.8</v>
      </c>
      <c r="AH32" s="3">
        <v>16178.017757</v>
      </c>
      <c r="AI32" s="4">
        <v>185.1</v>
      </c>
      <c r="AT32" s="67"/>
      <c r="AU32" s="68"/>
      <c r="AV32" s="68"/>
      <c r="AW32" s="68"/>
    </row>
    <row r="33" spans="1:49">
      <c r="A33" s="28">
        <v>35551</v>
      </c>
      <c r="B33" s="29">
        <f t="shared" si="0"/>
        <v>5</v>
      </c>
      <c r="C33" s="29">
        <f t="shared" si="1"/>
        <v>2</v>
      </c>
      <c r="D33" s="29">
        <f t="shared" si="2"/>
        <v>1997</v>
      </c>
      <c r="E33" s="11">
        <v>62.7665322601</v>
      </c>
      <c r="F33" s="36">
        <v>5178</v>
      </c>
      <c r="G33" s="36">
        <v>3853.6</v>
      </c>
      <c r="H33" s="37">
        <v>2609.6999999999998</v>
      </c>
      <c r="I33" s="38">
        <v>714.69999999999993</v>
      </c>
      <c r="L33" s="23">
        <v>20.81904761904762</v>
      </c>
      <c r="M33" s="30">
        <v>101.27</v>
      </c>
      <c r="N33" s="30">
        <v>3.3988000000000005</v>
      </c>
      <c r="O33" s="12">
        <v>273.60999999999996</v>
      </c>
      <c r="P33" s="12">
        <v>265.21526315789481</v>
      </c>
      <c r="Q33" s="12">
        <v>1352.5590476190478</v>
      </c>
      <c r="R33" s="12">
        <v>833.09142857142865</v>
      </c>
      <c r="S33" s="34">
        <v>0.17</v>
      </c>
      <c r="X33" s="23">
        <f>[1]ישיר!D22/1000</f>
        <v>5201.8180000000002</v>
      </c>
      <c r="Y33" s="23">
        <v>3456.152</v>
      </c>
      <c r="Z33" s="23">
        <f>[1]עקיף!H22</f>
        <v>714.69999999999993</v>
      </c>
      <c r="AA33" s="23">
        <f>[1]עקיף!P22</f>
        <v>584.30000000000007</v>
      </c>
      <c r="AB33" s="23">
        <f>[1]עקיף!Q22</f>
        <v>3908.7</v>
      </c>
      <c r="AH33" s="3">
        <v>16564.114320000001</v>
      </c>
      <c r="AI33" s="4">
        <v>187.4</v>
      </c>
      <c r="AT33" s="67"/>
      <c r="AU33" s="68"/>
      <c r="AV33" s="68"/>
      <c r="AW33" s="68"/>
    </row>
    <row r="34" spans="1:49">
      <c r="A34" s="28">
        <v>35582</v>
      </c>
      <c r="B34" s="29">
        <f t="shared" si="0"/>
        <v>6</v>
      </c>
      <c r="C34" s="29">
        <f t="shared" si="1"/>
        <v>2</v>
      </c>
      <c r="D34" s="29">
        <f t="shared" si="2"/>
        <v>1997</v>
      </c>
      <c r="E34" s="11">
        <v>63.442349565699999</v>
      </c>
      <c r="F34" s="36">
        <v>4465.1000000000004</v>
      </c>
      <c r="G34" s="36">
        <v>3836.2</v>
      </c>
      <c r="H34" s="37">
        <v>2249.3000000000002</v>
      </c>
      <c r="I34" s="38">
        <v>890.1</v>
      </c>
      <c r="L34" s="23">
        <v>19.259999999999998</v>
      </c>
      <c r="M34" s="30">
        <v>100.74</v>
      </c>
      <c r="N34" s="30">
        <v>3.4530000000000003</v>
      </c>
      <c r="O34" s="12">
        <v>297.04449999999997</v>
      </c>
      <c r="P34" s="12">
        <v>288.97050000000007</v>
      </c>
      <c r="Q34" s="12">
        <v>1422.4528571428573</v>
      </c>
      <c r="R34" s="12">
        <v>876.28619047619043</v>
      </c>
      <c r="S34" s="34">
        <v>0.17</v>
      </c>
      <c r="X34" s="23">
        <f>[1]ישיר!D23/1000</f>
        <v>4350.0770000000002</v>
      </c>
      <c r="Y34" s="23">
        <v>3007.1089999999999</v>
      </c>
      <c r="Z34" s="23">
        <f>[1]עקיף!H23</f>
        <v>890.1</v>
      </c>
      <c r="AA34" s="23">
        <f>[1]עקיף!P23</f>
        <v>602.6</v>
      </c>
      <c r="AB34" s="23">
        <f>[1]עקיף!Q23</f>
        <v>3742</v>
      </c>
      <c r="AH34" s="3">
        <v>17993.834029000001</v>
      </c>
      <c r="AI34" s="4">
        <v>190.8</v>
      </c>
      <c r="AT34" s="67"/>
      <c r="AU34" s="68"/>
      <c r="AV34" s="68"/>
      <c r="AW34" s="68"/>
    </row>
    <row r="35" spans="1:49">
      <c r="A35" s="28">
        <v>35612</v>
      </c>
      <c r="B35" s="29">
        <f t="shared" si="0"/>
        <v>7</v>
      </c>
      <c r="C35" s="29">
        <f t="shared" si="1"/>
        <v>3</v>
      </c>
      <c r="D35" s="29">
        <f t="shared" si="2"/>
        <v>1997</v>
      </c>
      <c r="E35" s="11">
        <v>64.075928289700002</v>
      </c>
      <c r="F35" s="36">
        <v>5412.7</v>
      </c>
      <c r="G35" s="36">
        <v>4028.2</v>
      </c>
      <c r="H35" s="37">
        <v>2835.4999999999995</v>
      </c>
      <c r="I35" s="38">
        <v>559.6</v>
      </c>
      <c r="L35" s="23">
        <v>19.66363636363636</v>
      </c>
      <c r="M35" s="30">
        <v>100.26</v>
      </c>
      <c r="N35" s="30">
        <v>3.5440000000000005</v>
      </c>
      <c r="O35" s="12">
        <v>306.31304347826085</v>
      </c>
      <c r="P35" s="12">
        <v>299.47086956521741</v>
      </c>
      <c r="Q35" s="12">
        <v>1531.1413636363636</v>
      </c>
      <c r="R35" s="12">
        <v>925.29454545454564</v>
      </c>
      <c r="S35" s="34">
        <v>0.17</v>
      </c>
      <c r="X35" s="23">
        <f>[1]ישיר!D24/1000</f>
        <v>5529.8680000000004</v>
      </c>
      <c r="Y35" s="23">
        <v>3867.1179999999999</v>
      </c>
      <c r="Z35" s="23">
        <f>[1]עקיף!H24</f>
        <v>559.6</v>
      </c>
      <c r="AA35" s="23">
        <f>[1]עקיף!P24</f>
        <v>729.7</v>
      </c>
      <c r="AB35" s="23">
        <f>[1]עקיף!Q24</f>
        <v>4124.7999999999993</v>
      </c>
      <c r="AH35" s="3">
        <v>18158.184090999999</v>
      </c>
      <c r="AI35" s="4">
        <v>192.4</v>
      </c>
      <c r="AT35" s="67"/>
      <c r="AU35" s="68"/>
      <c r="AV35" s="68"/>
      <c r="AW35" s="68"/>
    </row>
    <row r="36" spans="1:49">
      <c r="A36" s="28">
        <v>35643</v>
      </c>
      <c r="B36" s="29">
        <f t="shared" si="0"/>
        <v>8</v>
      </c>
      <c r="C36" s="29">
        <f t="shared" si="1"/>
        <v>3</v>
      </c>
      <c r="D36" s="29">
        <f t="shared" si="2"/>
        <v>1997</v>
      </c>
      <c r="E36" s="11">
        <v>64.329359779399994</v>
      </c>
      <c r="F36" s="36">
        <v>4872.7</v>
      </c>
      <c r="G36" s="36">
        <v>3703.5</v>
      </c>
      <c r="H36" s="37">
        <v>2428.5</v>
      </c>
      <c r="I36" s="38">
        <v>623.5</v>
      </c>
      <c r="L36" s="23">
        <v>19.952857142857141</v>
      </c>
      <c r="M36" s="30">
        <v>100.02</v>
      </c>
      <c r="N36" s="30">
        <v>3.5300500000000001</v>
      </c>
      <c r="O36" s="12">
        <v>305.55900000000008</v>
      </c>
      <c r="P36" s="12">
        <v>298.33600000000001</v>
      </c>
      <c r="Q36" s="12">
        <v>1596.7419047619048</v>
      </c>
      <c r="R36" s="12">
        <v>927.73571428571427</v>
      </c>
      <c r="S36" s="34">
        <v>0.17</v>
      </c>
      <c r="X36" s="23">
        <f>[1]ישיר!D25/1000</f>
        <v>4926.1890000000003</v>
      </c>
      <c r="Y36" s="23">
        <v>3436.183</v>
      </c>
      <c r="Z36" s="23">
        <f>[1]עקיף!H25</f>
        <v>623.5</v>
      </c>
      <c r="AA36" s="23">
        <f>[1]עקיף!P25</f>
        <v>653.70000000000005</v>
      </c>
      <c r="AB36" s="23">
        <f>[1]עקיף!Q25</f>
        <v>3705.7</v>
      </c>
      <c r="AH36" s="3">
        <v>18466.118418999999</v>
      </c>
      <c r="AI36" s="4">
        <v>191.5</v>
      </c>
      <c r="AT36" s="67"/>
      <c r="AU36" s="68"/>
      <c r="AV36" s="68"/>
      <c r="AW36" s="68"/>
    </row>
    <row r="37" spans="1:49">
      <c r="A37" s="28">
        <v>35674</v>
      </c>
      <c r="B37" s="29">
        <f t="shared" si="0"/>
        <v>9</v>
      </c>
      <c r="C37" s="29">
        <f t="shared" si="1"/>
        <v>3</v>
      </c>
      <c r="D37" s="29">
        <f t="shared" si="2"/>
        <v>1997</v>
      </c>
      <c r="E37" s="11">
        <v>64.287121197800005</v>
      </c>
      <c r="F37" s="36">
        <v>5402.5</v>
      </c>
      <c r="G37" s="36">
        <v>4176.6000000000004</v>
      </c>
      <c r="H37" s="37">
        <v>2940.8</v>
      </c>
      <c r="I37" s="38">
        <v>648.9</v>
      </c>
      <c r="L37" s="23">
        <v>19.803333333333331</v>
      </c>
      <c r="M37" s="30">
        <v>102.55</v>
      </c>
      <c r="N37" s="30">
        <v>3.5079090909090911</v>
      </c>
      <c r="O37" s="12">
        <v>294.58700000000005</v>
      </c>
      <c r="P37" s="12">
        <v>286.61199999999997</v>
      </c>
      <c r="Q37" s="12">
        <v>1660.1490476190479</v>
      </c>
      <c r="R37" s="12">
        <v>937.02428571428584</v>
      </c>
      <c r="S37" s="34">
        <v>0.17</v>
      </c>
      <c r="X37" s="23">
        <f>[1]ישיר!D26/1000</f>
        <v>5389.384</v>
      </c>
      <c r="Y37" s="23">
        <v>3558.4969999999998</v>
      </c>
      <c r="Z37" s="23">
        <f>[1]עקיף!H26</f>
        <v>648.9</v>
      </c>
      <c r="AA37" s="23">
        <f>[1]עקיף!P26</f>
        <v>602.29999999999995</v>
      </c>
      <c r="AB37" s="23">
        <f>[1]עקיף!Q26</f>
        <v>4192</v>
      </c>
      <c r="AH37" s="3">
        <v>19205.577993999999</v>
      </c>
      <c r="AI37" s="4">
        <v>190.3</v>
      </c>
      <c r="AT37" s="67"/>
      <c r="AU37" s="68"/>
      <c r="AV37" s="68"/>
      <c r="AW37" s="68"/>
    </row>
    <row r="38" spans="1:49">
      <c r="A38" s="28">
        <v>35704</v>
      </c>
      <c r="B38" s="29">
        <f t="shared" si="0"/>
        <v>10</v>
      </c>
      <c r="C38" s="29">
        <f t="shared" si="1"/>
        <v>4</v>
      </c>
      <c r="D38" s="29">
        <f t="shared" si="2"/>
        <v>1997</v>
      </c>
      <c r="E38" s="11">
        <v>65.047415666600003</v>
      </c>
      <c r="F38" s="36">
        <v>4850.8</v>
      </c>
      <c r="G38" s="36">
        <v>3555.4</v>
      </c>
      <c r="H38" s="37">
        <v>2338.1</v>
      </c>
      <c r="I38" s="38">
        <v>615.5</v>
      </c>
      <c r="L38" s="23">
        <v>21.325217391304353</v>
      </c>
      <c r="M38" s="30">
        <v>102.09</v>
      </c>
      <c r="N38" s="30">
        <v>3.5217647058823531</v>
      </c>
      <c r="O38" s="12">
        <v>307.26624999999996</v>
      </c>
      <c r="P38" s="12">
        <v>298.86374999999998</v>
      </c>
      <c r="Q38" s="12">
        <v>1682.173043478261</v>
      </c>
      <c r="R38" s="12">
        <v>951.15956521739122</v>
      </c>
      <c r="S38" s="34">
        <v>0.17</v>
      </c>
      <c r="X38" s="23">
        <f>[1]ישיר!D27/1000</f>
        <v>4786.8450000000003</v>
      </c>
      <c r="Y38" s="23">
        <v>3250.7559999999999</v>
      </c>
      <c r="Z38" s="23">
        <f>[1]עקיף!H27</f>
        <v>615.5</v>
      </c>
      <c r="AA38" s="23">
        <f>[1]עקיף!P27</f>
        <v>633.5</v>
      </c>
      <c r="AB38" s="23">
        <f>[1]עקיף!Q27</f>
        <v>3587.1</v>
      </c>
      <c r="AH38" s="3">
        <v>19574.543027</v>
      </c>
      <c r="AI38" s="4">
        <v>189.5</v>
      </c>
      <c r="AT38" s="67"/>
      <c r="AU38" s="68"/>
      <c r="AV38" s="68"/>
      <c r="AW38" s="68"/>
    </row>
    <row r="39" spans="1:49">
      <c r="A39" s="28">
        <v>35735</v>
      </c>
      <c r="B39" s="29">
        <f t="shared" si="0"/>
        <v>11</v>
      </c>
      <c r="C39" s="29">
        <f t="shared" si="1"/>
        <v>4</v>
      </c>
      <c r="D39" s="29">
        <f t="shared" si="2"/>
        <v>1997</v>
      </c>
      <c r="E39" s="11">
        <v>64.878461340200005</v>
      </c>
      <c r="F39" s="36">
        <v>4748.5</v>
      </c>
      <c r="G39" s="36">
        <v>4096.3</v>
      </c>
      <c r="H39" s="37">
        <v>2734.9</v>
      </c>
      <c r="I39" s="38">
        <v>702.1</v>
      </c>
      <c r="L39" s="23">
        <v>20.193888888888889</v>
      </c>
      <c r="M39" s="30">
        <v>102.05</v>
      </c>
      <c r="N39" s="30">
        <v>3.53335</v>
      </c>
      <c r="O39" s="12">
        <v>290.24714285714293</v>
      </c>
      <c r="P39" s="12">
        <v>281.27047619047619</v>
      </c>
      <c r="Q39" s="12">
        <v>1600.9742105263158</v>
      </c>
      <c r="R39" s="12">
        <v>938.92368421052652</v>
      </c>
      <c r="S39" s="34">
        <v>0.17</v>
      </c>
      <c r="X39" s="23">
        <f>[1]ישיר!D28/1000</f>
        <v>4851.8360000000002</v>
      </c>
      <c r="Y39" s="23">
        <v>3552.127</v>
      </c>
      <c r="Z39" s="23">
        <f>[1]עקיף!H28</f>
        <v>702.1</v>
      </c>
      <c r="AA39" s="23">
        <f>[1]עקיף!P28</f>
        <v>565.29999999999995</v>
      </c>
      <c r="AB39" s="23">
        <f>[1]עקיף!Q28</f>
        <v>4002.3</v>
      </c>
      <c r="AH39" s="3">
        <v>19405.022261999999</v>
      </c>
      <c r="AI39" s="4">
        <v>189.7</v>
      </c>
      <c r="AT39" s="67"/>
      <c r="AU39" s="68"/>
      <c r="AV39" s="68"/>
      <c r="AW39" s="68"/>
    </row>
    <row r="40" spans="1:49">
      <c r="A40" s="28">
        <v>35765</v>
      </c>
      <c r="B40" s="29">
        <f t="shared" si="0"/>
        <v>12</v>
      </c>
      <c r="C40" s="29">
        <f t="shared" si="1"/>
        <v>4</v>
      </c>
      <c r="D40" s="29">
        <f t="shared" si="2"/>
        <v>1997</v>
      </c>
      <c r="E40" s="11">
        <v>64.667268432200004</v>
      </c>
      <c r="F40" s="36">
        <v>4810.3999999999996</v>
      </c>
      <c r="G40" s="36">
        <v>4274.0330000000004</v>
      </c>
      <c r="H40" s="37">
        <v>2345.3239999999996</v>
      </c>
      <c r="I40" s="38">
        <v>914.39199999999994</v>
      </c>
      <c r="L40" s="23">
        <v>18.332727272727272</v>
      </c>
      <c r="M40" s="30">
        <v>101.16</v>
      </c>
      <c r="N40" s="30">
        <v>3.534388888888889</v>
      </c>
      <c r="O40" s="12">
        <v>295.96449999999999</v>
      </c>
      <c r="P40" s="12">
        <v>283.75000000000006</v>
      </c>
      <c r="Q40" s="12">
        <v>1566.9968181818183</v>
      </c>
      <c r="R40" s="12">
        <v>962.36545454545444</v>
      </c>
      <c r="S40" s="34">
        <v>0.17</v>
      </c>
      <c r="X40" s="23">
        <f>[1]ישיר!D29/1000</f>
        <v>4249.34</v>
      </c>
      <c r="Y40" s="23">
        <v>3199.78</v>
      </c>
      <c r="Z40" s="23">
        <f>[1]עקיף!H29</f>
        <v>914.39199999999994</v>
      </c>
      <c r="AA40" s="23">
        <f>[1]עקיף!P29</f>
        <v>676</v>
      </c>
      <c r="AB40" s="23">
        <f>[1]עקיף!Q29</f>
        <v>3935.7159999999994</v>
      </c>
      <c r="AH40" s="3">
        <v>20332.481129</v>
      </c>
      <c r="AI40" s="4">
        <v>190.9</v>
      </c>
      <c r="AT40" s="67"/>
      <c r="AU40" s="68"/>
      <c r="AV40" s="68"/>
      <c r="AW40" s="68"/>
    </row>
    <row r="41" spans="1:49">
      <c r="A41" s="28">
        <v>35796</v>
      </c>
      <c r="B41" s="29">
        <f t="shared" si="0"/>
        <v>1</v>
      </c>
      <c r="C41" s="29">
        <f t="shared" si="1"/>
        <v>1</v>
      </c>
      <c r="D41" s="29">
        <f t="shared" si="2"/>
        <v>1998</v>
      </c>
      <c r="E41" s="11">
        <v>64.878461340200005</v>
      </c>
      <c r="F41" s="36">
        <v>5156.8</v>
      </c>
      <c r="G41" s="36">
        <v>3681</v>
      </c>
      <c r="H41" s="37">
        <v>2646.2999999999997</v>
      </c>
      <c r="I41" s="38">
        <v>536.1</v>
      </c>
      <c r="L41" s="23">
        <v>16.724</v>
      </c>
      <c r="M41" s="30">
        <v>103.3</v>
      </c>
      <c r="N41" s="30">
        <v>3.5771904761904758</v>
      </c>
      <c r="O41" s="12">
        <v>284.03571428571428</v>
      </c>
      <c r="P41" s="12">
        <v>273.9561904761905</v>
      </c>
      <c r="Q41" s="12">
        <v>1570.2345</v>
      </c>
      <c r="R41" s="12">
        <v>963.35900000000004</v>
      </c>
      <c r="S41" s="34">
        <v>0.17</v>
      </c>
      <c r="X41" s="23">
        <f>[1]ישיר!D30/1000</f>
        <v>5869.41</v>
      </c>
      <c r="Y41" s="23">
        <v>4105.1989999999996</v>
      </c>
      <c r="Z41" s="23">
        <f>[1]עקיף!H30</f>
        <v>536.1</v>
      </c>
      <c r="AA41" s="23">
        <f>[1]עקיף!P30</f>
        <v>592.79999999999995</v>
      </c>
      <c r="AB41" s="23">
        <f>[1]עקיף!Q30</f>
        <v>3775.2</v>
      </c>
      <c r="AH41" s="3">
        <v>21923.216092999999</v>
      </c>
      <c r="AI41" s="4">
        <v>191.1</v>
      </c>
      <c r="AK41" s="61"/>
      <c r="AL41" s="74">
        <v>39.36345766540196</v>
      </c>
      <c r="AM41" s="72">
        <v>19212</v>
      </c>
      <c r="AT41" s="67"/>
      <c r="AU41" s="68"/>
      <c r="AV41" s="68"/>
      <c r="AW41" s="68"/>
    </row>
    <row r="42" spans="1:49">
      <c r="A42" s="28">
        <v>35827</v>
      </c>
      <c r="B42" s="29">
        <f t="shared" si="0"/>
        <v>2</v>
      </c>
      <c r="C42" s="29">
        <f t="shared" si="1"/>
        <v>1</v>
      </c>
      <c r="D42" s="29">
        <f t="shared" si="2"/>
        <v>1998</v>
      </c>
      <c r="E42" s="11">
        <v>64.836222758600002</v>
      </c>
      <c r="F42" s="36">
        <v>4392.1000000000004</v>
      </c>
      <c r="G42" s="36">
        <v>3690.2</v>
      </c>
      <c r="H42" s="37">
        <v>2440.3999999999996</v>
      </c>
      <c r="I42" s="38">
        <v>573.4</v>
      </c>
      <c r="L42" s="23">
        <v>16.059999999999999</v>
      </c>
      <c r="M42" s="30">
        <v>104.14</v>
      </c>
      <c r="N42" s="30">
        <v>3.5942999999999992</v>
      </c>
      <c r="O42" s="12">
        <v>281.88250000000005</v>
      </c>
      <c r="P42" s="12">
        <v>271.03450000000004</v>
      </c>
      <c r="Q42" s="12">
        <v>1714.8721052631574</v>
      </c>
      <c r="R42" s="12">
        <v>1023.742105263158</v>
      </c>
      <c r="S42" s="34">
        <v>0.17</v>
      </c>
      <c r="X42" s="23">
        <f>[1]ישיר!D31/1000</f>
        <v>3785.3490000000002</v>
      </c>
      <c r="Y42" s="23">
        <v>2612.299</v>
      </c>
      <c r="Z42" s="23">
        <f>[1]עקיף!H31</f>
        <v>573.4</v>
      </c>
      <c r="AA42" s="23">
        <f>[1]עקיף!P31</f>
        <v>537.90000000000009</v>
      </c>
      <c r="AB42" s="23">
        <f>[1]עקיף!Q31</f>
        <v>3551.7</v>
      </c>
      <c r="AH42" s="3">
        <v>21811.626097</v>
      </c>
      <c r="AI42" s="4">
        <v>190.1</v>
      </c>
      <c r="AK42" s="61"/>
      <c r="AL42" s="74">
        <v>39.473874611873725</v>
      </c>
      <c r="AM42" s="72">
        <v>21600</v>
      </c>
      <c r="AT42" s="67"/>
      <c r="AU42" s="68"/>
      <c r="AV42" s="68"/>
      <c r="AW42" s="68"/>
    </row>
    <row r="43" spans="1:49">
      <c r="A43" s="28">
        <v>35855</v>
      </c>
      <c r="B43" s="29">
        <f t="shared" si="0"/>
        <v>3</v>
      </c>
      <c r="C43" s="29">
        <f t="shared" si="1"/>
        <v>1</v>
      </c>
      <c r="D43" s="29">
        <f t="shared" si="2"/>
        <v>1998</v>
      </c>
      <c r="E43" s="11">
        <v>64.709507013800007</v>
      </c>
      <c r="F43" s="36">
        <v>6098.3</v>
      </c>
      <c r="G43" s="36">
        <v>4582</v>
      </c>
      <c r="H43" s="37">
        <v>3239.5000000000005</v>
      </c>
      <c r="I43" s="38">
        <v>818.4</v>
      </c>
      <c r="L43" s="23">
        <v>15.115454545454543</v>
      </c>
      <c r="M43" s="30">
        <v>102.61</v>
      </c>
      <c r="N43" s="30">
        <v>3.5862499999999997</v>
      </c>
      <c r="O43" s="12">
        <v>306.43590909090909</v>
      </c>
      <c r="P43" s="12">
        <v>294.80318181818177</v>
      </c>
      <c r="Q43" s="12">
        <v>1781.2695454545451</v>
      </c>
      <c r="R43" s="12">
        <v>1076.8277272727273</v>
      </c>
      <c r="S43" s="34">
        <v>0.17</v>
      </c>
      <c r="X43" s="23">
        <f>[1]ישיר!D32/1000</f>
        <v>6746</v>
      </c>
      <c r="Y43" s="23">
        <v>4603.4790000000003</v>
      </c>
      <c r="Z43" s="23">
        <f>[1]עקיף!H32</f>
        <v>818.4</v>
      </c>
      <c r="AA43" s="23">
        <f>[1]עקיף!P32</f>
        <v>657.5</v>
      </c>
      <c r="AB43" s="23">
        <f>[1]עקיף!Q32</f>
        <v>4715.4000000000005</v>
      </c>
      <c r="AH43" s="3">
        <v>21603.441757000001</v>
      </c>
      <c r="AI43" s="4">
        <v>191.6</v>
      </c>
      <c r="AK43" s="61"/>
      <c r="AL43" s="74">
        <v>39.61505403671341</v>
      </c>
      <c r="AM43" s="72">
        <v>20196</v>
      </c>
      <c r="AT43" s="67"/>
      <c r="AU43" s="68"/>
      <c r="AV43" s="68"/>
      <c r="AW43" s="68"/>
    </row>
    <row r="44" spans="1:49">
      <c r="A44" s="28">
        <v>35886</v>
      </c>
      <c r="B44" s="29">
        <f t="shared" si="0"/>
        <v>4</v>
      </c>
      <c r="C44" s="29">
        <f t="shared" si="1"/>
        <v>2</v>
      </c>
      <c r="D44" s="29">
        <f t="shared" si="2"/>
        <v>1998</v>
      </c>
      <c r="E44" s="11">
        <v>65.5965172274</v>
      </c>
      <c r="F44" s="36">
        <v>5439.5</v>
      </c>
      <c r="G44" s="36">
        <v>3588</v>
      </c>
      <c r="H44" s="37">
        <v>2329.5</v>
      </c>
      <c r="I44" s="38">
        <v>762.6</v>
      </c>
      <c r="L44" s="23">
        <v>15.353809523809522</v>
      </c>
      <c r="M44" s="30">
        <v>102.43</v>
      </c>
      <c r="N44" s="30">
        <v>3.7050555555555551</v>
      </c>
      <c r="O44" s="12">
        <v>327.08473684210531</v>
      </c>
      <c r="P44" s="12">
        <v>311.05684210526312</v>
      </c>
      <c r="Q44" s="12">
        <v>1852.2999999999997</v>
      </c>
      <c r="R44" s="12">
        <v>1112.1961904761904</v>
      </c>
      <c r="S44" s="34">
        <v>0.17</v>
      </c>
      <c r="X44" s="23">
        <f>[1]ישיר!D33/1000</f>
        <v>5446.3</v>
      </c>
      <c r="Y44" s="23">
        <v>3585.355</v>
      </c>
      <c r="Z44" s="23">
        <f>[1]עקיף!H33</f>
        <v>762.6</v>
      </c>
      <c r="AA44" s="23">
        <f>[1]עקיף!P33</f>
        <v>575.1</v>
      </c>
      <c r="AB44" s="23">
        <f>[1]עקיף!Q33</f>
        <v>3667.2</v>
      </c>
      <c r="AH44" s="3">
        <v>21837.742156</v>
      </c>
      <c r="AI44" s="4">
        <v>193.5</v>
      </c>
      <c r="AK44" s="61"/>
      <c r="AL44" s="74">
        <v>39.68427937318156</v>
      </c>
      <c r="AM44" s="72">
        <v>18012</v>
      </c>
      <c r="AT44" s="67"/>
      <c r="AU44" s="68"/>
      <c r="AV44" s="68"/>
      <c r="AW44" s="68"/>
    </row>
    <row r="45" spans="1:49">
      <c r="A45" s="28">
        <v>35916</v>
      </c>
      <c r="B45" s="29">
        <f t="shared" si="0"/>
        <v>5</v>
      </c>
      <c r="C45" s="29">
        <f t="shared" si="1"/>
        <v>2</v>
      </c>
      <c r="D45" s="29">
        <f t="shared" si="2"/>
        <v>1998</v>
      </c>
      <c r="E45" s="11">
        <v>65.849948717000004</v>
      </c>
      <c r="F45" s="36">
        <v>5579.4</v>
      </c>
      <c r="G45" s="36">
        <v>4057.6</v>
      </c>
      <c r="H45" s="37">
        <v>2923.2</v>
      </c>
      <c r="I45" s="38">
        <v>597.70000000000005</v>
      </c>
      <c r="L45" s="23">
        <v>14.914000000000001</v>
      </c>
      <c r="M45" s="30">
        <v>100</v>
      </c>
      <c r="N45" s="30">
        <v>3.6654736842105264</v>
      </c>
      <c r="O45" s="12">
        <v>339.00100000000003</v>
      </c>
      <c r="P45" s="12">
        <v>323.00949999999995</v>
      </c>
      <c r="Q45" s="12">
        <v>1836.3925000000004</v>
      </c>
      <c r="R45" s="12">
        <v>1108.4169999999999</v>
      </c>
      <c r="S45" s="34">
        <v>0.17</v>
      </c>
      <c r="X45" s="23">
        <f>[1]ישיר!D34/1000</f>
        <v>5624.0659999999998</v>
      </c>
      <c r="Y45" s="23">
        <v>3818.5479999999998</v>
      </c>
      <c r="Z45" s="23">
        <f>[1]עקיף!H34</f>
        <v>597.70000000000005</v>
      </c>
      <c r="AA45" s="23">
        <f>[1]עקיף!P34</f>
        <v>637.9</v>
      </c>
      <c r="AB45" s="23">
        <f>[1]עקיף!Q34</f>
        <v>4158.7999999999993</v>
      </c>
      <c r="AH45" s="3">
        <v>21537.104186</v>
      </c>
      <c r="AI45" s="4">
        <v>193.4</v>
      </c>
      <c r="AK45" s="61"/>
      <c r="AL45" s="74">
        <v>39.73462896033729</v>
      </c>
      <c r="AM45" s="72">
        <v>18888</v>
      </c>
      <c r="AT45" s="67"/>
      <c r="AU45" s="68"/>
      <c r="AV45" s="68"/>
      <c r="AW45" s="68"/>
    </row>
    <row r="46" spans="1:49">
      <c r="A46" s="28">
        <v>35947</v>
      </c>
      <c r="B46" s="29">
        <f t="shared" si="0"/>
        <v>6</v>
      </c>
      <c r="C46" s="29">
        <f t="shared" si="1"/>
        <v>2</v>
      </c>
      <c r="D46" s="29">
        <f t="shared" si="2"/>
        <v>1998</v>
      </c>
      <c r="E46" s="11">
        <v>66.103380206599994</v>
      </c>
      <c r="F46" s="36">
        <v>4858.1000000000004</v>
      </c>
      <c r="G46" s="36">
        <v>3844.4</v>
      </c>
      <c r="H46" s="37">
        <v>2381.6999999999998</v>
      </c>
      <c r="I46" s="38">
        <v>817.30000000000007</v>
      </c>
      <c r="L46" s="23">
        <v>13.721818181818181</v>
      </c>
      <c r="M46" s="30">
        <v>101.03</v>
      </c>
      <c r="N46" s="30">
        <v>3.6642272727272727</v>
      </c>
      <c r="O46" s="12">
        <v>340.04772727272734</v>
      </c>
      <c r="P46" s="12">
        <v>325.01272727272732</v>
      </c>
      <c r="Q46" s="12">
        <v>1795.7445454545452</v>
      </c>
      <c r="R46" s="12">
        <v>1108.3895454545457</v>
      </c>
      <c r="S46" s="34">
        <v>0.17</v>
      </c>
      <c r="X46" s="23">
        <f>[1]ישיר!D35/1000</f>
        <v>4699.9470000000001</v>
      </c>
      <c r="Y46" s="23">
        <v>3259.9319999999998</v>
      </c>
      <c r="Z46" s="23">
        <f>[1]עקיף!H35</f>
        <v>817.30000000000007</v>
      </c>
      <c r="AA46" s="23">
        <f>[1]עקיף!P35</f>
        <v>675.3</v>
      </c>
      <c r="AB46" s="23">
        <f>[1]עקיף!Q35</f>
        <v>3874.2999999999997</v>
      </c>
      <c r="AH46" s="3">
        <v>21322.432081999999</v>
      </c>
      <c r="AI46" s="4">
        <v>190.1</v>
      </c>
      <c r="AK46" s="61"/>
      <c r="AL46" s="74">
        <v>39.845791036246894</v>
      </c>
      <c r="AM46" s="72">
        <v>17256</v>
      </c>
      <c r="AT46" s="67"/>
      <c r="AU46" s="68"/>
      <c r="AV46" s="68"/>
      <c r="AW46" s="68"/>
    </row>
    <row r="47" spans="1:49">
      <c r="A47" s="28">
        <v>35977</v>
      </c>
      <c r="B47" s="29">
        <f t="shared" si="0"/>
        <v>7</v>
      </c>
      <c r="C47" s="29">
        <f t="shared" si="1"/>
        <v>3</v>
      </c>
      <c r="D47" s="29">
        <f t="shared" si="2"/>
        <v>1998</v>
      </c>
      <c r="E47" s="11">
        <v>66.018903043400002</v>
      </c>
      <c r="F47" s="36">
        <v>6146.2</v>
      </c>
      <c r="G47" s="36">
        <v>4327</v>
      </c>
      <c r="H47" s="37">
        <v>3041.95</v>
      </c>
      <c r="I47" s="38">
        <v>612.80000000000007</v>
      </c>
      <c r="L47" s="23">
        <v>14.172727272727274</v>
      </c>
      <c r="M47" s="30">
        <v>102.33</v>
      </c>
      <c r="N47" s="30">
        <v>3.6600434782608708</v>
      </c>
      <c r="O47" s="12">
        <v>330.41863636363638</v>
      </c>
      <c r="P47" s="12">
        <v>316.77454545454543</v>
      </c>
      <c r="Q47" s="12">
        <v>1941.5768181818182</v>
      </c>
      <c r="R47" s="12">
        <v>1156.5772727272727</v>
      </c>
      <c r="S47" s="34">
        <v>0.17</v>
      </c>
      <c r="X47" s="23">
        <f>[1]ישיר!D36/1000</f>
        <v>6148.9920000000002</v>
      </c>
      <c r="Y47" s="23">
        <v>4110.9340000000002</v>
      </c>
      <c r="Z47" s="23">
        <f>[1]עקיף!H36</f>
        <v>612.80000000000007</v>
      </c>
      <c r="AA47" s="23">
        <f>[1]עקיף!P36</f>
        <v>699.9</v>
      </c>
      <c r="AB47" s="23">
        <f>[1]עקיף!Q36</f>
        <v>4354.6499999999996</v>
      </c>
      <c r="AH47" s="3">
        <v>21405.083972</v>
      </c>
      <c r="AI47" s="4">
        <v>188.1</v>
      </c>
      <c r="AK47" s="61"/>
      <c r="AL47" s="74">
        <v>39.930907137286745</v>
      </c>
      <c r="AM47" s="72">
        <v>18168</v>
      </c>
      <c r="AT47" s="67"/>
      <c r="AU47" s="68"/>
      <c r="AV47" s="68"/>
      <c r="AW47" s="68"/>
    </row>
    <row r="48" spans="1:49">
      <c r="A48" s="28">
        <v>36008</v>
      </c>
      <c r="B48" s="29">
        <f t="shared" si="0"/>
        <v>8</v>
      </c>
      <c r="C48" s="29">
        <f t="shared" si="1"/>
        <v>3</v>
      </c>
      <c r="D48" s="29">
        <f t="shared" si="2"/>
        <v>1998</v>
      </c>
      <c r="E48" s="11">
        <v>66.356811696199998</v>
      </c>
      <c r="F48" s="36">
        <v>5463.8</v>
      </c>
      <c r="G48" s="36">
        <v>4029.5</v>
      </c>
      <c r="H48" s="37">
        <v>2546.1999999999998</v>
      </c>
      <c r="I48" s="38">
        <v>775.90000000000009</v>
      </c>
      <c r="L48" s="23">
        <v>13.471904761904764</v>
      </c>
      <c r="M48" s="30">
        <v>102.57</v>
      </c>
      <c r="N48" s="30">
        <v>3.7075714285714283</v>
      </c>
      <c r="O48" s="12">
        <v>323.73095238095237</v>
      </c>
      <c r="P48" s="12">
        <v>312.29714285714283</v>
      </c>
      <c r="Q48" s="12">
        <v>1784.7504761904763</v>
      </c>
      <c r="R48" s="12">
        <v>1074.620476190476</v>
      </c>
      <c r="S48" s="34">
        <v>0.17</v>
      </c>
      <c r="X48" s="23">
        <f>[1]ישיר!D37/1000</f>
        <v>4776.6379999999999</v>
      </c>
      <c r="Y48" s="23">
        <v>3009.3879999999999</v>
      </c>
      <c r="Z48" s="23">
        <f>[1]עקיף!H37</f>
        <v>775.90000000000009</v>
      </c>
      <c r="AA48" s="23">
        <f>[1]עקיף!P37</f>
        <v>687.4</v>
      </c>
      <c r="AB48" s="23">
        <f>[1]עקיף!Q37</f>
        <v>4009.5</v>
      </c>
      <c r="AH48" s="3">
        <v>21544.499339000002</v>
      </c>
      <c r="AI48" s="4">
        <v>191</v>
      </c>
      <c r="AK48" s="61"/>
      <c r="AL48" s="74">
        <v>40.048977607070313</v>
      </c>
      <c r="AM48" s="72">
        <v>24612</v>
      </c>
      <c r="AT48" s="67"/>
      <c r="AU48" s="68"/>
      <c r="AV48" s="68"/>
      <c r="AW48" s="68"/>
    </row>
    <row r="49" spans="1:49">
      <c r="A49" s="28">
        <v>36039</v>
      </c>
      <c r="B49" s="29">
        <f t="shared" si="0"/>
        <v>9</v>
      </c>
      <c r="C49" s="29">
        <f t="shared" si="1"/>
        <v>3</v>
      </c>
      <c r="D49" s="29">
        <f t="shared" si="2"/>
        <v>1998</v>
      </c>
      <c r="E49" s="11">
        <v>67.286060491499995</v>
      </c>
      <c r="F49" s="36">
        <v>5758.9</v>
      </c>
      <c r="G49" s="36">
        <v>4508.7</v>
      </c>
      <c r="H49" s="37">
        <v>3407</v>
      </c>
      <c r="I49" s="38">
        <v>696.4</v>
      </c>
      <c r="L49" s="23">
        <v>15.031428571428572</v>
      </c>
      <c r="M49" s="30">
        <v>102.05</v>
      </c>
      <c r="N49" s="30">
        <v>3.8448888888888888</v>
      </c>
      <c r="O49" s="12">
        <v>294.78294117647062</v>
      </c>
      <c r="P49" s="12">
        <v>288.8135294117647</v>
      </c>
      <c r="Q49" s="12">
        <v>1663.4271428571428</v>
      </c>
      <c r="R49" s="12">
        <v>1020.64</v>
      </c>
      <c r="S49" s="34">
        <v>0.17</v>
      </c>
      <c r="X49" s="23">
        <f>[1]ישיר!D38/1000</f>
        <v>5668.6940000000004</v>
      </c>
      <c r="Y49" s="23">
        <v>3628.2869999999998</v>
      </c>
      <c r="Z49" s="23">
        <f>[1]עקיף!H38</f>
        <v>696.4</v>
      </c>
      <c r="AA49" s="23">
        <f>[1]עקיף!P38</f>
        <v>617.9</v>
      </c>
      <c r="AB49" s="23">
        <f>[1]עקיף!Q38</f>
        <v>4721.3</v>
      </c>
      <c r="AH49" s="3">
        <v>21714.884493000001</v>
      </c>
      <c r="AI49" s="4">
        <v>198.3</v>
      </c>
      <c r="AK49" s="61"/>
      <c r="AL49" s="74">
        <v>40.094374824068005</v>
      </c>
      <c r="AM49" s="72">
        <v>19260</v>
      </c>
      <c r="AT49" s="67"/>
      <c r="AU49" s="68"/>
      <c r="AV49" s="68"/>
      <c r="AW49" s="68"/>
    </row>
    <row r="50" spans="1:49">
      <c r="A50" s="28">
        <v>36069</v>
      </c>
      <c r="B50" s="29">
        <f t="shared" si="0"/>
        <v>10</v>
      </c>
      <c r="C50" s="29">
        <f t="shared" si="1"/>
        <v>4</v>
      </c>
      <c r="D50" s="29">
        <f t="shared" si="2"/>
        <v>1998</v>
      </c>
      <c r="E50" s="11">
        <v>69.313512408400001</v>
      </c>
      <c r="F50" s="36">
        <v>5018.8999999999996</v>
      </c>
      <c r="G50" s="36">
        <v>3886.4</v>
      </c>
      <c r="H50" s="37">
        <v>2383.5</v>
      </c>
      <c r="I50" s="38">
        <v>908.6</v>
      </c>
      <c r="L50" s="23">
        <v>14.460909090909091</v>
      </c>
      <c r="M50" s="30">
        <v>97.26</v>
      </c>
      <c r="N50" s="30">
        <v>4.1940000000000008</v>
      </c>
      <c r="O50" s="12">
        <v>273.14352941176475</v>
      </c>
      <c r="P50" s="12">
        <v>268.81764705882358</v>
      </c>
      <c r="Q50" s="12">
        <v>1615.6945454545455</v>
      </c>
      <c r="R50" s="12">
        <v>1032.4699999999998</v>
      </c>
      <c r="S50" s="34">
        <v>0.17</v>
      </c>
      <c r="X50" s="23">
        <f>[1]ישיר!D39/1000</f>
        <v>5927.4089999999997</v>
      </c>
      <c r="Y50" s="23">
        <v>4398.9589999999998</v>
      </c>
      <c r="Z50" s="23">
        <f>[1]עקיף!H39</f>
        <v>908.6</v>
      </c>
      <c r="AA50" s="23">
        <f>[1]עקיף!P39</f>
        <v>645.80000000000007</v>
      </c>
      <c r="AB50" s="23">
        <f>[1]עקיף!Q39</f>
        <v>3937.9</v>
      </c>
      <c r="AH50" s="3">
        <v>21914.409135999998</v>
      </c>
      <c r="AI50" s="4">
        <v>204.4</v>
      </c>
      <c r="AK50" s="61"/>
      <c r="AL50" s="74">
        <v>40.27272753728974</v>
      </c>
      <c r="AM50" s="72">
        <v>21420</v>
      </c>
      <c r="AT50" s="67"/>
      <c r="AU50" s="68"/>
      <c r="AV50" s="68"/>
      <c r="AW50" s="68"/>
    </row>
    <row r="51" spans="1:49">
      <c r="A51" s="28">
        <v>36100</v>
      </c>
      <c r="B51" s="29">
        <f t="shared" si="0"/>
        <v>11</v>
      </c>
      <c r="C51" s="29">
        <f t="shared" si="1"/>
        <v>4</v>
      </c>
      <c r="D51" s="29">
        <f t="shared" si="2"/>
        <v>1998</v>
      </c>
      <c r="E51" s="11">
        <v>70.200522621999994</v>
      </c>
      <c r="F51" s="36">
        <v>4918.7</v>
      </c>
      <c r="G51" s="36">
        <v>4455.3999999999996</v>
      </c>
      <c r="H51" s="37">
        <v>3021.7</v>
      </c>
      <c r="I51" s="38">
        <v>634.69999999999993</v>
      </c>
      <c r="L51" s="23">
        <v>13.002105263157892</v>
      </c>
      <c r="M51" s="30">
        <v>89.39</v>
      </c>
      <c r="N51" s="30">
        <v>4.2263333333333337</v>
      </c>
      <c r="O51" s="12">
        <v>290.30636363636364</v>
      </c>
      <c r="P51" s="12">
        <v>283.59863636363639</v>
      </c>
      <c r="Q51" s="12">
        <v>1888.7210000000002</v>
      </c>
      <c r="R51" s="12">
        <v>1144.4335000000001</v>
      </c>
      <c r="S51" s="34">
        <v>0.17</v>
      </c>
      <c r="X51" s="23">
        <f>[1]ישיר!D40/1000</f>
        <v>4879.5200000000004</v>
      </c>
      <c r="Y51" s="23">
        <v>3637.0650000000001</v>
      </c>
      <c r="Z51" s="23">
        <f>[1]עקיף!H40</f>
        <v>634.69999999999993</v>
      </c>
      <c r="AA51" s="23">
        <f>[1]עקיף!P40</f>
        <v>686.30000000000007</v>
      </c>
      <c r="AB51" s="23">
        <f>[1]עקיף!Q40</f>
        <v>4342.7</v>
      </c>
      <c r="AH51" s="3">
        <v>22478.555886999999</v>
      </c>
      <c r="AI51" s="4">
        <v>204.4</v>
      </c>
      <c r="AK51" s="61"/>
      <c r="AL51" s="74">
        <v>40.328701518239349</v>
      </c>
      <c r="AM51" s="72">
        <v>19356</v>
      </c>
      <c r="AT51" s="67"/>
      <c r="AU51" s="68"/>
      <c r="AV51" s="68"/>
      <c r="AW51" s="68"/>
    </row>
    <row r="52" spans="1:49">
      <c r="A52" s="28">
        <v>36130</v>
      </c>
      <c r="B52" s="29">
        <f t="shared" si="0"/>
        <v>12</v>
      </c>
      <c r="C52" s="29">
        <f t="shared" si="1"/>
        <v>4</v>
      </c>
      <c r="D52" s="29">
        <f t="shared" si="2"/>
        <v>1998</v>
      </c>
      <c r="E52" s="11">
        <v>70.242761203599997</v>
      </c>
      <c r="F52" s="36">
        <v>5198.6000000000004</v>
      </c>
      <c r="G52" s="36">
        <v>4683.8959999999988</v>
      </c>
      <c r="H52" s="37">
        <v>2773.4</v>
      </c>
      <c r="I52" s="38">
        <v>752.6</v>
      </c>
      <c r="L52" s="23">
        <v>11.347272727272726</v>
      </c>
      <c r="M52" s="30">
        <v>90.69</v>
      </c>
      <c r="N52" s="30">
        <v>4.1764090909090905</v>
      </c>
      <c r="O52" s="12">
        <v>305.27782608695651</v>
      </c>
      <c r="P52" s="12">
        <v>296.56130434782614</v>
      </c>
      <c r="Q52" s="12">
        <v>2071.0331818181821</v>
      </c>
      <c r="R52" s="12">
        <v>1190.0509090909093</v>
      </c>
      <c r="S52" s="34">
        <v>0.17</v>
      </c>
      <c r="X52" s="23">
        <f>[1]ישיר!D41/1000</f>
        <v>4878.34</v>
      </c>
      <c r="Y52" s="23">
        <v>3726.8389999999999</v>
      </c>
      <c r="Z52" s="23">
        <f>[1]עקיף!H41</f>
        <v>752.6</v>
      </c>
      <c r="AA52" s="23">
        <f>[1]עקיף!P41</f>
        <v>699</v>
      </c>
      <c r="AB52" s="23">
        <f>[1]עקיף!Q41</f>
        <v>4225</v>
      </c>
      <c r="AH52" s="3">
        <v>22674.335236999999</v>
      </c>
      <c r="AI52" s="4">
        <v>204.3</v>
      </c>
      <c r="AK52" s="61"/>
      <c r="AL52" s="74">
        <v>40.383450359215459</v>
      </c>
      <c r="AM52" s="72">
        <v>19692</v>
      </c>
      <c r="AT52" s="67"/>
      <c r="AU52" s="68"/>
      <c r="AV52" s="68"/>
      <c r="AW52" s="68"/>
    </row>
    <row r="53" spans="1:49">
      <c r="A53" s="28">
        <v>36161</v>
      </c>
      <c r="B53" s="29">
        <f t="shared" si="0"/>
        <v>1</v>
      </c>
      <c r="C53" s="29">
        <f t="shared" si="1"/>
        <v>1</v>
      </c>
      <c r="D53" s="29">
        <f t="shared" si="2"/>
        <v>1999</v>
      </c>
      <c r="E53" s="11">
        <v>69.917819795300005</v>
      </c>
      <c r="F53" s="36">
        <v>5610.2269999999999</v>
      </c>
      <c r="G53" s="36">
        <v>4510.1710000000003</v>
      </c>
      <c r="H53" s="37">
        <v>3255.7</v>
      </c>
      <c r="I53" s="38">
        <v>583.79999999999995</v>
      </c>
      <c r="L53" s="23">
        <v>12.514736842105263</v>
      </c>
      <c r="M53" s="30">
        <v>91.42</v>
      </c>
      <c r="N53" s="30">
        <v>4.0797999999999996</v>
      </c>
      <c r="O53" s="12">
        <v>310.37142857142851</v>
      </c>
      <c r="P53" s="12">
        <v>302.34380952380951</v>
      </c>
      <c r="Q53" s="12">
        <v>2357.7999999999997</v>
      </c>
      <c r="R53" s="12">
        <v>1248.7747368421051</v>
      </c>
      <c r="S53" s="34">
        <v>0.17</v>
      </c>
      <c r="X53" s="23">
        <f>[1]ישיר!D42/1000</f>
        <v>5913.7629999999999</v>
      </c>
      <c r="Y53" s="23">
        <v>4317.07</v>
      </c>
      <c r="Z53" s="23">
        <f>[1]עקיף!H42</f>
        <v>583.79999999999995</v>
      </c>
      <c r="AA53" s="23">
        <f>[1]עקיף!P42</f>
        <v>633.6</v>
      </c>
      <c r="AB53" s="23">
        <f>[1]עקיף!Q42</f>
        <v>4473.1000000000004</v>
      </c>
      <c r="AH53" s="3">
        <v>22635.549114000001</v>
      </c>
      <c r="AI53" s="4">
        <v>204.6</v>
      </c>
      <c r="AK53" s="61"/>
      <c r="AL53" s="74">
        <v>40.379347288796801</v>
      </c>
      <c r="AM53" s="72">
        <v>16068</v>
      </c>
      <c r="AT53" s="67"/>
      <c r="AU53" s="68"/>
      <c r="AV53" s="68"/>
      <c r="AW53" s="68"/>
    </row>
    <row r="54" spans="1:49">
      <c r="A54" s="28">
        <v>36192</v>
      </c>
      <c r="B54" s="29">
        <f t="shared" si="0"/>
        <v>2</v>
      </c>
      <c r="C54" s="29">
        <f t="shared" si="1"/>
        <v>1</v>
      </c>
      <c r="D54" s="29">
        <f t="shared" si="2"/>
        <v>1999</v>
      </c>
      <c r="E54" s="11">
        <v>69.383586215199998</v>
      </c>
      <c r="F54" s="36">
        <v>5360.9650000000001</v>
      </c>
      <c r="G54" s="36">
        <v>4123.22</v>
      </c>
      <c r="H54" s="37">
        <v>2893.5</v>
      </c>
      <c r="I54" s="38">
        <v>788.6</v>
      </c>
      <c r="L54" s="23">
        <v>12.013684210526316</v>
      </c>
      <c r="M54" s="30">
        <v>93.47</v>
      </c>
      <c r="N54" s="30">
        <v>4.0676499999999995</v>
      </c>
      <c r="O54" s="12">
        <v>306.29099999999994</v>
      </c>
      <c r="P54" s="12">
        <v>298.06599999999997</v>
      </c>
      <c r="Q54" s="12">
        <v>2356.9884210526311</v>
      </c>
      <c r="R54" s="12">
        <v>1246.5821052631577</v>
      </c>
      <c r="S54" s="34">
        <v>0.17</v>
      </c>
      <c r="X54" s="23">
        <f>[1]ישיר!D43/1000</f>
        <v>5562.4430000000002</v>
      </c>
      <c r="Y54" s="23">
        <v>3912.2719999999999</v>
      </c>
      <c r="Z54" s="23">
        <f>[1]עקיף!H43</f>
        <v>788.6</v>
      </c>
      <c r="AA54" s="23">
        <f>[1]עקיף!P43</f>
        <v>596.70000000000005</v>
      </c>
      <c r="AB54" s="23">
        <f>[1]עקיף!Q43</f>
        <v>4278.8</v>
      </c>
      <c r="AH54" s="3">
        <v>22255.400458</v>
      </c>
      <c r="AI54" s="4">
        <v>203.3</v>
      </c>
      <c r="AK54" s="61"/>
      <c r="AL54" s="74">
        <v>40.58978218609527</v>
      </c>
      <c r="AM54" s="72">
        <v>15936</v>
      </c>
      <c r="AT54" s="67"/>
      <c r="AU54" s="68"/>
      <c r="AV54" s="68"/>
      <c r="AW54" s="68"/>
    </row>
    <row r="55" spans="1:49">
      <c r="A55" s="28">
        <v>36220</v>
      </c>
      <c r="B55" s="29">
        <f t="shared" si="0"/>
        <v>3</v>
      </c>
      <c r="C55" s="29">
        <f t="shared" si="1"/>
        <v>1</v>
      </c>
      <c r="D55" s="29">
        <f t="shared" si="2"/>
        <v>1999</v>
      </c>
      <c r="E55" s="11">
        <v>69.250027820200003</v>
      </c>
      <c r="F55" s="36">
        <v>5201.1809999999996</v>
      </c>
      <c r="G55" s="36">
        <v>4466.1139999999996</v>
      </c>
      <c r="H55" s="37">
        <v>3184.1</v>
      </c>
      <c r="I55" s="38">
        <v>932.59999999999991</v>
      </c>
      <c r="L55" s="23">
        <v>14.676521739130438</v>
      </c>
      <c r="M55" s="30">
        <v>94.56</v>
      </c>
      <c r="N55" s="30">
        <v>4.0308499999999992</v>
      </c>
      <c r="O55" s="12">
        <v>348.51904761904763</v>
      </c>
      <c r="P55" s="12">
        <v>335.72523809523807</v>
      </c>
      <c r="Q55" s="12">
        <v>2391.14</v>
      </c>
      <c r="R55" s="12">
        <v>1281.6639130434783</v>
      </c>
      <c r="S55" s="34">
        <v>0.17</v>
      </c>
      <c r="X55" s="23">
        <f>[1]ישיר!D44/1000</f>
        <v>5145.8180000000002</v>
      </c>
      <c r="Y55" s="23">
        <v>3705.328</v>
      </c>
      <c r="Z55" s="23">
        <f>[1]עקיף!H44</f>
        <v>932.59999999999991</v>
      </c>
      <c r="AA55" s="23">
        <f>[1]עקיף!P44</f>
        <v>662.9</v>
      </c>
      <c r="AB55" s="23">
        <f>[1]עקיף!Q44</f>
        <v>4779.6000000000004</v>
      </c>
      <c r="AH55" s="3">
        <v>22071.887667999999</v>
      </c>
      <c r="AI55" s="4">
        <v>201.7</v>
      </c>
      <c r="AK55" s="61"/>
      <c r="AL55" s="74">
        <v>40.778589711770429</v>
      </c>
      <c r="AM55" s="72">
        <v>15132</v>
      </c>
      <c r="AT55" s="67"/>
      <c r="AU55" s="68"/>
      <c r="AV55" s="68"/>
      <c r="AW55" s="68"/>
    </row>
    <row r="56" spans="1:49">
      <c r="A56" s="28">
        <v>36251</v>
      </c>
      <c r="B56" s="29">
        <f t="shared" si="0"/>
        <v>4</v>
      </c>
      <c r="C56" s="29">
        <f t="shared" si="1"/>
        <v>2</v>
      </c>
      <c r="D56" s="29">
        <f t="shared" si="2"/>
        <v>1999</v>
      </c>
      <c r="E56" s="11">
        <v>69.450365412699995</v>
      </c>
      <c r="F56" s="36">
        <v>5569.8159999999998</v>
      </c>
      <c r="G56" s="36">
        <v>4185.3239999999996</v>
      </c>
      <c r="H56" s="37">
        <v>2575.7999999999997</v>
      </c>
      <c r="I56" s="38">
        <v>704.9</v>
      </c>
      <c r="L56" s="23">
        <v>17.312380952380952</v>
      </c>
      <c r="M56" s="30">
        <v>96.49</v>
      </c>
      <c r="N56" s="30">
        <v>4.0609999999999991</v>
      </c>
      <c r="O56" s="12">
        <v>381.255</v>
      </c>
      <c r="P56" s="12">
        <v>368.676875</v>
      </c>
      <c r="Q56" s="12">
        <v>2537.8871428571433</v>
      </c>
      <c r="R56" s="12">
        <v>1334.7566666666667</v>
      </c>
      <c r="S56" s="34">
        <v>0.17</v>
      </c>
      <c r="X56" s="23">
        <f>[1]ישיר!D45/1000</f>
        <v>5489.42</v>
      </c>
      <c r="Y56" s="23">
        <v>3817.241</v>
      </c>
      <c r="Z56" s="23">
        <f>[1]עקיף!H45</f>
        <v>704.9</v>
      </c>
      <c r="AA56" s="23">
        <f>[1]עקיף!P45</f>
        <v>649.29999999999995</v>
      </c>
      <c r="AB56" s="23">
        <f>[1]עקיף!Q45</f>
        <v>3929.9999999999995</v>
      </c>
      <c r="AH56" s="3">
        <v>22156.625647000001</v>
      </c>
      <c r="AI56" s="4">
        <v>203</v>
      </c>
      <c r="AK56" s="61"/>
      <c r="AL56" s="74">
        <v>40.908202103023157</v>
      </c>
      <c r="AM56" s="72">
        <v>16356</v>
      </c>
      <c r="AT56" s="67"/>
      <c r="AU56" s="68"/>
      <c r="AV56" s="68"/>
      <c r="AW56" s="68"/>
    </row>
    <row r="57" spans="1:49">
      <c r="A57" s="28">
        <v>36281</v>
      </c>
      <c r="B57" s="29">
        <f t="shared" si="0"/>
        <v>5</v>
      </c>
      <c r="C57" s="29">
        <f t="shared" si="1"/>
        <v>2</v>
      </c>
      <c r="D57" s="29">
        <f t="shared" si="2"/>
        <v>1999</v>
      </c>
      <c r="E57" s="11">
        <v>69.784261400299997</v>
      </c>
      <c r="F57" s="36">
        <v>6188.8670000000002</v>
      </c>
      <c r="G57" s="36">
        <v>4274.5870000000004</v>
      </c>
      <c r="H57" s="37">
        <v>2990</v>
      </c>
      <c r="I57" s="38">
        <v>689.40000000000009</v>
      </c>
      <c r="L57" s="23">
        <v>17.718499999999999</v>
      </c>
      <c r="M57" s="30">
        <v>96.08</v>
      </c>
      <c r="N57" s="30">
        <v>4.1176111111111107</v>
      </c>
      <c r="O57" s="12">
        <v>404.77249999999998</v>
      </c>
      <c r="P57" s="12">
        <v>392.89150000000006</v>
      </c>
      <c r="Q57" s="12">
        <v>2512.5950000000003</v>
      </c>
      <c r="R57" s="12">
        <v>1332.0740000000001</v>
      </c>
      <c r="S57" s="34">
        <v>0.17</v>
      </c>
      <c r="X57" s="23">
        <f>[1]ישיר!D46/1000</f>
        <v>6402.2860000000001</v>
      </c>
      <c r="Y57" s="23">
        <v>4419.8220000000001</v>
      </c>
      <c r="Z57" s="23">
        <f>[1]עקיף!H46</f>
        <v>689.40000000000009</v>
      </c>
      <c r="AA57" s="23">
        <f>[1]עקיף!P46</f>
        <v>664.6</v>
      </c>
      <c r="AB57" s="23">
        <f>[1]עקיף!Q46</f>
        <v>4344</v>
      </c>
      <c r="AH57" s="3">
        <v>21639.824172000001</v>
      </c>
      <c r="AI57" s="4">
        <v>202.4</v>
      </c>
      <c r="AK57" s="61"/>
      <c r="AL57" s="74">
        <v>40.998085477991211</v>
      </c>
      <c r="AM57" s="72">
        <v>15276</v>
      </c>
      <c r="AT57" s="67"/>
      <c r="AU57" s="68"/>
      <c r="AV57" s="68"/>
      <c r="AW57" s="68"/>
    </row>
    <row r="58" spans="1:49">
      <c r="A58" s="28">
        <v>36312</v>
      </c>
      <c r="B58" s="29">
        <f t="shared" si="0"/>
        <v>6</v>
      </c>
      <c r="C58" s="29">
        <f t="shared" si="1"/>
        <v>2</v>
      </c>
      <c r="D58" s="29">
        <f t="shared" si="2"/>
        <v>1999</v>
      </c>
      <c r="E58" s="11">
        <v>69.984598992800002</v>
      </c>
      <c r="F58" s="36">
        <v>5616.1469999999999</v>
      </c>
      <c r="G58" s="36">
        <v>4117.2879999999996</v>
      </c>
      <c r="H58" s="37">
        <v>2660.4</v>
      </c>
      <c r="I58" s="38">
        <v>802.40000000000009</v>
      </c>
      <c r="L58" s="23">
        <v>17.923181818181821</v>
      </c>
      <c r="M58" s="30">
        <v>95.41</v>
      </c>
      <c r="N58" s="30">
        <v>4.089227272727272</v>
      </c>
      <c r="O58" s="12">
        <v>408.46576923076924</v>
      </c>
      <c r="P58" s="12">
        <v>402.3138461538461</v>
      </c>
      <c r="Q58" s="12">
        <v>2520.9586363636372</v>
      </c>
      <c r="R58" s="12">
        <v>1322.5527272727272</v>
      </c>
      <c r="S58" s="34">
        <v>0.17</v>
      </c>
      <c r="X58" s="23">
        <f>[1]ישיר!D47/1000</f>
        <v>5558.7089999999998</v>
      </c>
      <c r="Y58" s="23">
        <v>3661.0450000000001</v>
      </c>
      <c r="Z58" s="23">
        <f>[1]עקיף!H47</f>
        <v>802.40000000000009</v>
      </c>
      <c r="AA58" s="23">
        <f>[1]עקיף!P47</f>
        <v>715.6</v>
      </c>
      <c r="AB58" s="23">
        <f>[1]עקיף!Q47</f>
        <v>4178.3999999999996</v>
      </c>
      <c r="AH58" s="3">
        <v>22018.611457999999</v>
      </c>
      <c r="AI58" s="4">
        <v>200.1</v>
      </c>
      <c r="AK58" s="61"/>
      <c r="AL58" s="74">
        <v>41.136762415926839</v>
      </c>
      <c r="AM58" s="72">
        <v>16368</v>
      </c>
      <c r="AT58" s="67"/>
      <c r="AU58" s="68"/>
      <c r="AV58" s="68"/>
      <c r="AW58" s="68"/>
    </row>
    <row r="59" spans="1:49">
      <c r="A59" s="28">
        <v>36342</v>
      </c>
      <c r="B59" s="29">
        <f t="shared" si="0"/>
        <v>7</v>
      </c>
      <c r="C59" s="29">
        <f t="shared" si="1"/>
        <v>3</v>
      </c>
      <c r="D59" s="29">
        <f t="shared" si="2"/>
        <v>1999</v>
      </c>
      <c r="E59" s="11">
        <v>70.184936585399996</v>
      </c>
      <c r="F59" s="36">
        <v>6368.26</v>
      </c>
      <c r="G59" s="36">
        <v>4848.1530000000002</v>
      </c>
      <c r="H59" s="37">
        <v>3347.2</v>
      </c>
      <c r="I59" s="38">
        <v>787.9</v>
      </c>
      <c r="L59" s="23">
        <v>20.103333333333332</v>
      </c>
      <c r="M59" s="30">
        <v>97.17</v>
      </c>
      <c r="N59" s="30">
        <v>4.0966190476190478</v>
      </c>
      <c r="O59" s="12">
        <v>417.31500000000005</v>
      </c>
      <c r="P59" s="12">
        <v>423.25949999999995</v>
      </c>
      <c r="Q59" s="12">
        <v>2741.2638095238099</v>
      </c>
      <c r="R59" s="12">
        <v>1380.99</v>
      </c>
      <c r="S59" s="34">
        <v>0.17</v>
      </c>
      <c r="X59" s="23">
        <f>[1]ישיר!D48/1000</f>
        <v>6472.2879999999996</v>
      </c>
      <c r="Y59" s="23">
        <v>4582.1139999999996</v>
      </c>
      <c r="Z59" s="23">
        <f>[1]עקיף!H48</f>
        <v>787.9</v>
      </c>
      <c r="AA59" s="23">
        <f>[1]עקיף!P48</f>
        <v>708.6</v>
      </c>
      <c r="AB59" s="23">
        <f>[1]עקיף!Q48</f>
        <v>4843.7</v>
      </c>
      <c r="AH59" s="3">
        <v>22234.446201999999</v>
      </c>
      <c r="AI59" s="4">
        <v>202.7</v>
      </c>
      <c r="AK59" s="61"/>
      <c r="AL59" s="74">
        <v>41.364666292843125</v>
      </c>
      <c r="AM59" s="72">
        <v>16368</v>
      </c>
      <c r="AT59" s="67"/>
      <c r="AU59" s="68"/>
      <c r="AV59" s="68"/>
      <c r="AW59" s="68"/>
    </row>
    <row r="60" spans="1:49">
      <c r="A60" s="28">
        <v>36373</v>
      </c>
      <c r="B60" s="29">
        <f t="shared" si="0"/>
        <v>8</v>
      </c>
      <c r="C60" s="29">
        <f t="shared" si="1"/>
        <v>3</v>
      </c>
      <c r="D60" s="29">
        <f t="shared" si="2"/>
        <v>1999</v>
      </c>
      <c r="E60" s="11">
        <v>70.518832572899996</v>
      </c>
      <c r="F60" s="36">
        <v>5725.9480000000003</v>
      </c>
      <c r="G60" s="36">
        <v>4964.5370000000003</v>
      </c>
      <c r="H60" s="37">
        <v>3198.2</v>
      </c>
      <c r="I60" s="38">
        <v>1047.9000000000001</v>
      </c>
      <c r="L60" s="23">
        <v>21.278636363636366</v>
      </c>
      <c r="M60" s="30">
        <v>97.37</v>
      </c>
      <c r="N60" s="30">
        <v>4.202590909090909</v>
      </c>
      <c r="O60" s="12">
        <v>381.05739130434779</v>
      </c>
      <c r="P60" s="12">
        <v>389.12478260869568</v>
      </c>
      <c r="Q60" s="12">
        <v>2642.4495454545458</v>
      </c>
      <c r="R60" s="12">
        <v>1327.4886363636365</v>
      </c>
      <c r="S60" s="34">
        <v>0.17</v>
      </c>
      <c r="X60" s="23">
        <f>[1]ישיר!D49/1000</f>
        <v>5701.6980000000003</v>
      </c>
      <c r="Y60" s="23">
        <v>4045.61</v>
      </c>
      <c r="Z60" s="23">
        <f>[1]עקיף!H49</f>
        <v>1047.9000000000001</v>
      </c>
      <c r="AA60" s="23">
        <f>[1]עקיף!P49</f>
        <v>769.19999999999993</v>
      </c>
      <c r="AB60" s="23">
        <f>[1]עקיף!Q49</f>
        <v>5015.2999999999993</v>
      </c>
      <c r="AH60" s="3">
        <v>21878.764522000001</v>
      </c>
      <c r="AI60" s="4">
        <v>206.1</v>
      </c>
      <c r="AK60" s="61"/>
      <c r="AL60" s="74">
        <v>41.710497251884114</v>
      </c>
      <c r="AM60" s="72">
        <v>14808</v>
      </c>
      <c r="AT60" s="67"/>
      <c r="AU60" s="68"/>
      <c r="AV60" s="68"/>
      <c r="AW60" s="68"/>
    </row>
    <row r="61" spans="1:49">
      <c r="A61" s="28">
        <v>36404</v>
      </c>
      <c r="B61" s="29">
        <f t="shared" si="0"/>
        <v>9</v>
      </c>
      <c r="C61" s="29">
        <f t="shared" si="1"/>
        <v>3</v>
      </c>
      <c r="D61" s="29">
        <f t="shared" si="2"/>
        <v>1999</v>
      </c>
      <c r="E61" s="11">
        <v>70.852728560499997</v>
      </c>
      <c r="F61" s="36">
        <v>6361.0129999999999</v>
      </c>
      <c r="G61" s="36">
        <v>4737.5749999999998</v>
      </c>
      <c r="H61" s="37">
        <v>3327.3999999999992</v>
      </c>
      <c r="I61" s="38">
        <v>821.90000000000009</v>
      </c>
      <c r="L61" s="23">
        <v>23.796666666666667</v>
      </c>
      <c r="M61" s="30">
        <v>93.97</v>
      </c>
      <c r="N61" s="30">
        <v>4.2467000000000006</v>
      </c>
      <c r="O61" s="12">
        <v>390.4489473684211</v>
      </c>
      <c r="P61" s="12">
        <v>398.46052631578954</v>
      </c>
      <c r="Q61" s="12">
        <v>2807.9466666666667</v>
      </c>
      <c r="R61" s="12">
        <v>1318.1719047619047</v>
      </c>
      <c r="S61" s="34">
        <v>0.17</v>
      </c>
      <c r="X61" s="23">
        <f>[1]ישיר!D50/1000</f>
        <v>5620.9840000000004</v>
      </c>
      <c r="Y61" s="23">
        <v>3437.384</v>
      </c>
      <c r="Z61" s="23">
        <f>[1]עקיף!H50</f>
        <v>821.90000000000009</v>
      </c>
      <c r="AA61" s="23">
        <f>[1]עקיף!P50</f>
        <v>666.59999999999991</v>
      </c>
      <c r="AB61" s="23">
        <f>[1]עקיף!Q50</f>
        <v>4815.8999999999996</v>
      </c>
      <c r="AH61" s="3">
        <v>21944.787933</v>
      </c>
      <c r="AI61" s="4">
        <v>204</v>
      </c>
      <c r="AK61" s="61"/>
      <c r="AL61" s="74">
        <v>42.156666767924456</v>
      </c>
      <c r="AM61" s="72">
        <v>13596</v>
      </c>
      <c r="AT61" s="67"/>
      <c r="AU61" s="68"/>
      <c r="AV61" s="68"/>
      <c r="AW61" s="68"/>
    </row>
    <row r="62" spans="1:49">
      <c r="A62" s="28">
        <v>36434</v>
      </c>
      <c r="B62" s="29">
        <f t="shared" si="0"/>
        <v>10</v>
      </c>
      <c r="C62" s="29">
        <f t="shared" si="1"/>
        <v>4</v>
      </c>
      <c r="D62" s="29">
        <f t="shared" si="2"/>
        <v>1999</v>
      </c>
      <c r="E62" s="11">
        <v>71.320182943099994</v>
      </c>
      <c r="F62" s="36">
        <v>5364.6859999999997</v>
      </c>
      <c r="G62" s="36">
        <v>4258.2209999999995</v>
      </c>
      <c r="H62" s="37">
        <v>2737.9000000000005</v>
      </c>
      <c r="I62" s="38">
        <v>814.3</v>
      </c>
      <c r="L62" s="23">
        <v>22.691428571428577</v>
      </c>
      <c r="M62" s="30">
        <v>93.1</v>
      </c>
      <c r="N62" s="30">
        <v>4.26404761904762</v>
      </c>
      <c r="O62" s="12">
        <v>395.52714285714291</v>
      </c>
      <c r="P62" s="12">
        <v>401.2114285714286</v>
      </c>
      <c r="Q62" s="12">
        <v>2815.2766666666662</v>
      </c>
      <c r="R62" s="12">
        <v>1300.01</v>
      </c>
      <c r="S62" s="34">
        <v>0.17</v>
      </c>
      <c r="X62" s="23">
        <f>[1]ישיר!D51/1000</f>
        <v>6148.0959999999995</v>
      </c>
      <c r="Y62" s="23">
        <v>4596.6400000000003</v>
      </c>
      <c r="Z62" s="23">
        <f>[1]עקיף!H51</f>
        <v>814.3</v>
      </c>
      <c r="AA62" s="23">
        <f>[1]עקיף!P51</f>
        <v>716.8</v>
      </c>
      <c r="AB62" s="23">
        <f>[1]עקיף!Q51</f>
        <v>4269</v>
      </c>
      <c r="AH62" s="3">
        <v>21781.095153999999</v>
      </c>
      <c r="AI62" s="4">
        <v>204.2</v>
      </c>
      <c r="AK62" s="61"/>
      <c r="AL62" s="74">
        <v>42.273676796017341</v>
      </c>
      <c r="AM62" s="72">
        <v>13272</v>
      </c>
      <c r="AT62" s="67"/>
      <c r="AU62" s="68"/>
      <c r="AV62" s="68"/>
      <c r="AW62" s="68"/>
    </row>
    <row r="63" spans="1:49">
      <c r="A63" s="28">
        <v>36465</v>
      </c>
      <c r="B63" s="29">
        <f t="shared" si="0"/>
        <v>11</v>
      </c>
      <c r="C63" s="29">
        <f t="shared" si="1"/>
        <v>4</v>
      </c>
      <c r="D63" s="29">
        <f t="shared" si="2"/>
        <v>1999</v>
      </c>
      <c r="E63" s="11">
        <v>71.186624548099999</v>
      </c>
      <c r="F63" s="36">
        <v>6069.4759999999997</v>
      </c>
      <c r="G63" s="36">
        <v>5243.2950000000001</v>
      </c>
      <c r="H63" s="37">
        <v>3593.8</v>
      </c>
      <c r="I63" s="38">
        <v>959.80000000000007</v>
      </c>
      <c r="L63" s="23">
        <v>25.00238095238095</v>
      </c>
      <c r="M63" s="30">
        <v>92.27</v>
      </c>
      <c r="N63" s="30">
        <v>4.2262272727272725</v>
      </c>
      <c r="O63" s="12">
        <v>426.86727272727273</v>
      </c>
      <c r="P63" s="12">
        <v>432.94227272727272</v>
      </c>
      <c r="Q63" s="12">
        <v>3230.5485714285714</v>
      </c>
      <c r="R63" s="12">
        <v>1391.0028571428568</v>
      </c>
      <c r="S63" s="34">
        <v>0.17</v>
      </c>
      <c r="X63" s="23">
        <f>[1]ישיר!D52/1000</f>
        <v>5812.8729999999996</v>
      </c>
      <c r="Y63" s="23">
        <v>3823.3139999999999</v>
      </c>
      <c r="Z63" s="23">
        <f>[1]עקיף!H52</f>
        <v>959.80000000000007</v>
      </c>
      <c r="AA63" s="23">
        <f>[1]עקיף!P52</f>
        <v>697.59999999999991</v>
      </c>
      <c r="AB63" s="23">
        <f>[1]עקיף!Q52</f>
        <v>5251.2000000000007</v>
      </c>
      <c r="AH63" s="3">
        <v>21385.765004000001</v>
      </c>
      <c r="AI63" s="4">
        <v>205.6</v>
      </c>
      <c r="AK63" s="61"/>
      <c r="AL63" s="74">
        <v>42.512806080259807</v>
      </c>
      <c r="AM63" s="72">
        <v>12924</v>
      </c>
      <c r="AT63" s="67"/>
      <c r="AU63" s="68"/>
      <c r="AV63" s="68"/>
      <c r="AW63" s="68"/>
    </row>
    <row r="64" spans="1:49">
      <c r="A64" s="28">
        <v>36495</v>
      </c>
      <c r="B64" s="29">
        <f t="shared" si="0"/>
        <v>12</v>
      </c>
      <c r="C64" s="29">
        <f t="shared" si="1"/>
        <v>4</v>
      </c>
      <c r="D64" s="29">
        <f t="shared" si="2"/>
        <v>1999</v>
      </c>
      <c r="E64" s="11">
        <v>71.186624548099999</v>
      </c>
      <c r="F64" s="36">
        <v>6252.6319999999996</v>
      </c>
      <c r="G64" s="36">
        <v>4877.3240000000014</v>
      </c>
      <c r="H64" s="37">
        <v>2826.4</v>
      </c>
      <c r="I64" s="38">
        <v>897.19999999999993</v>
      </c>
      <c r="L64" s="23">
        <v>26.102380952380951</v>
      </c>
      <c r="M64" s="30">
        <v>94.1</v>
      </c>
      <c r="N64" s="30">
        <v>4.1928181818181818</v>
      </c>
      <c r="O64" s="12">
        <v>458.29863636363638</v>
      </c>
      <c r="P64" s="12">
        <v>461.40227272727265</v>
      </c>
      <c r="Q64" s="12">
        <v>3739.8786363636364</v>
      </c>
      <c r="R64" s="12">
        <v>1428.6840909090909</v>
      </c>
      <c r="S64" s="34">
        <v>0.17</v>
      </c>
      <c r="X64" s="23">
        <f>[1]ישיר!D53/1000</f>
        <v>5694.1030000000001</v>
      </c>
      <c r="Y64" s="23">
        <v>4485.6869999999999</v>
      </c>
      <c r="Z64" s="23">
        <f>[1]עקיף!H53</f>
        <v>897.19999999999993</v>
      </c>
      <c r="AA64" s="23">
        <f>[1]עקיף!P53</f>
        <v>702.60000000000014</v>
      </c>
      <c r="AB64" s="23">
        <f>[1]עקיף!Q53</f>
        <v>4426.2000000000007</v>
      </c>
      <c r="AH64" s="3">
        <v>22605.128722000001</v>
      </c>
      <c r="AI64" s="4">
        <v>200.5</v>
      </c>
      <c r="AK64" s="61"/>
      <c r="AL64" s="74">
        <v>42.614912797353043</v>
      </c>
      <c r="AM64" s="72">
        <v>15228</v>
      </c>
      <c r="AT64" s="67"/>
      <c r="AU64" s="68"/>
      <c r="AV64" s="68"/>
      <c r="AW64" s="68"/>
    </row>
    <row r="65" spans="1:49">
      <c r="A65" s="28">
        <v>36526</v>
      </c>
      <c r="B65" s="29">
        <f t="shared" si="0"/>
        <v>1</v>
      </c>
      <c r="C65" s="29">
        <f t="shared" si="1"/>
        <v>1</v>
      </c>
      <c r="D65" s="29">
        <f t="shared" si="2"/>
        <v>2000</v>
      </c>
      <c r="E65" s="11">
        <v>70.852728560499997</v>
      </c>
      <c r="F65" s="36">
        <v>6777</v>
      </c>
      <c r="G65" s="36">
        <v>4913</v>
      </c>
      <c r="H65" s="37">
        <v>3592.0489999999995</v>
      </c>
      <c r="I65" s="38">
        <v>730.9</v>
      </c>
      <c r="L65" s="23">
        <v>27.259473684210523</v>
      </c>
      <c r="M65" s="30">
        <v>95.34</v>
      </c>
      <c r="N65" s="30">
        <v>4.1048571428571421</v>
      </c>
      <c r="O65" s="12">
        <v>497.5057142857143</v>
      </c>
      <c r="P65" s="12">
        <v>504.43809523809529</v>
      </c>
      <c r="Q65" s="12">
        <v>4013.4940000000011</v>
      </c>
      <c r="R65" s="12">
        <v>1425.5854999999999</v>
      </c>
      <c r="S65" s="34">
        <v>0.17</v>
      </c>
      <c r="X65" s="23">
        <f>[1]ישיר!D54/1000</f>
        <v>7490.1629999999996</v>
      </c>
      <c r="Y65" s="23">
        <v>5050.6959999999999</v>
      </c>
      <c r="Z65" s="23">
        <f>[1]עקיף!H54</f>
        <v>730.9</v>
      </c>
      <c r="AA65" s="23">
        <f>[1]עקיף!P54</f>
        <v>726</v>
      </c>
      <c r="AB65" s="23">
        <f>[1]עקיף!Q54</f>
        <v>5048.9489999999996</v>
      </c>
      <c r="AH65" s="3">
        <v>22090.379047999999</v>
      </c>
      <c r="AI65" s="4">
        <v>195.8</v>
      </c>
      <c r="AK65" s="61"/>
      <c r="AL65" s="74">
        <v>42.631729283382555</v>
      </c>
      <c r="AM65" s="72">
        <v>17856</v>
      </c>
      <c r="AT65" s="67"/>
      <c r="AU65" s="68"/>
      <c r="AV65" s="68"/>
      <c r="AW65" s="68"/>
    </row>
    <row r="66" spans="1:49">
      <c r="A66" s="28">
        <v>36557</v>
      </c>
      <c r="B66" s="29">
        <f t="shared" si="0"/>
        <v>2</v>
      </c>
      <c r="C66" s="29">
        <f t="shared" si="1"/>
        <v>1</v>
      </c>
      <c r="D66" s="29">
        <f t="shared" si="2"/>
        <v>2000</v>
      </c>
      <c r="E66" s="11">
        <v>70.518832572899996</v>
      </c>
      <c r="F66" s="36">
        <v>7292</v>
      </c>
      <c r="G66" s="36">
        <v>4323</v>
      </c>
      <c r="H66" s="37">
        <v>2877.7089999999998</v>
      </c>
      <c r="I66" s="38">
        <v>948.9</v>
      </c>
      <c r="L66" s="23">
        <v>29.366000000000007</v>
      </c>
      <c r="M66" s="30">
        <v>96.57</v>
      </c>
      <c r="N66" s="30">
        <v>4.0535714285714288</v>
      </c>
      <c r="O66" s="12">
        <v>518.96952380952371</v>
      </c>
      <c r="P66" s="12">
        <v>540.60666666666668</v>
      </c>
      <c r="Q66" s="12">
        <v>4410.8710000000001</v>
      </c>
      <c r="R66" s="12">
        <v>1388.8744999999999</v>
      </c>
      <c r="S66" s="34">
        <v>0.17</v>
      </c>
      <c r="X66" s="23">
        <f>[1]ישיר!D55/1000</f>
        <v>7360.2969999999996</v>
      </c>
      <c r="Y66" s="23">
        <v>4671.9840000000004</v>
      </c>
      <c r="Z66" s="23">
        <f>[1]עקיף!H55</f>
        <v>948.9</v>
      </c>
      <c r="AA66" s="23">
        <f>[1]עקיף!P55</f>
        <v>657.4</v>
      </c>
      <c r="AB66" s="23">
        <f>[1]עקיף!Q55</f>
        <v>4484.009</v>
      </c>
      <c r="AH66" s="3">
        <v>22063.017661999998</v>
      </c>
      <c r="AI66" s="4">
        <v>193.8</v>
      </c>
      <c r="AK66" s="61"/>
      <c r="AL66" s="74">
        <v>42.899874437866906</v>
      </c>
      <c r="AM66" s="72">
        <v>14532</v>
      </c>
      <c r="AT66" s="67"/>
      <c r="AU66" s="68"/>
      <c r="AV66" s="68"/>
      <c r="AW66" s="68"/>
    </row>
    <row r="67" spans="1:49">
      <c r="A67" s="28">
        <v>36586</v>
      </c>
      <c r="B67" s="29">
        <f t="shared" si="0"/>
        <v>3</v>
      </c>
      <c r="C67" s="29">
        <f t="shared" si="1"/>
        <v>1</v>
      </c>
      <c r="D67" s="29">
        <f t="shared" si="2"/>
        <v>2000</v>
      </c>
      <c r="E67" s="11">
        <v>70.318494980400004</v>
      </c>
      <c r="F67" s="36">
        <v>7156</v>
      </c>
      <c r="G67" s="36">
        <v>5253</v>
      </c>
      <c r="H67" s="37">
        <v>3714.5810000000001</v>
      </c>
      <c r="I67" s="38">
        <v>1028.7</v>
      </c>
      <c r="L67" s="23">
        <v>29.841739130434789</v>
      </c>
      <c r="M67" s="30">
        <v>98.47</v>
      </c>
      <c r="N67" s="30">
        <v>4.004142857142857</v>
      </c>
      <c r="O67" s="12">
        <v>546.89666666666653</v>
      </c>
      <c r="P67" s="12">
        <v>554.96190476190475</v>
      </c>
      <c r="Q67" s="12">
        <v>4802.9882608695652</v>
      </c>
      <c r="R67" s="12">
        <v>1442.2126086956521</v>
      </c>
      <c r="S67" s="34">
        <v>0.17</v>
      </c>
      <c r="X67" s="23">
        <f>[1]ישיר!D56/1000</f>
        <v>7074.23</v>
      </c>
      <c r="Y67" s="23">
        <v>4738.9189999999999</v>
      </c>
      <c r="Z67" s="23">
        <f>[1]עקיף!H56</f>
        <v>1028.7</v>
      </c>
      <c r="AA67" s="23">
        <f>[1]עקיף!P56</f>
        <v>620.6</v>
      </c>
      <c r="AB67" s="23">
        <f>[1]עקיף!Q56</f>
        <v>5363.8810000000003</v>
      </c>
      <c r="AH67" s="3">
        <v>22765.086610999999</v>
      </c>
      <c r="AI67" s="4">
        <v>194.2</v>
      </c>
      <c r="AK67" s="61"/>
      <c r="AL67" s="74">
        <v>43.354910441390643</v>
      </c>
      <c r="AM67" s="72">
        <v>15048</v>
      </c>
      <c r="AT67" s="67"/>
      <c r="AU67" s="68"/>
      <c r="AV67" s="68"/>
      <c r="AW67" s="68"/>
    </row>
    <row r="68" spans="1:49">
      <c r="A68" s="28">
        <v>36617</v>
      </c>
      <c r="B68" s="29">
        <f t="shared" si="0"/>
        <v>4</v>
      </c>
      <c r="C68" s="29">
        <f t="shared" si="1"/>
        <v>2</v>
      </c>
      <c r="D68" s="29">
        <f t="shared" si="2"/>
        <v>2000</v>
      </c>
      <c r="E68" s="11">
        <v>70.652390968000006</v>
      </c>
      <c r="F68" s="36">
        <v>7232</v>
      </c>
      <c r="G68" s="36">
        <v>4696</v>
      </c>
      <c r="H68" s="37">
        <v>3021</v>
      </c>
      <c r="I68" s="38">
        <v>872.69999999999993</v>
      </c>
      <c r="L68" s="23">
        <v>25.7221052631579</v>
      </c>
      <c r="M68" s="30">
        <v>99.65</v>
      </c>
      <c r="N68" s="30">
        <v>4.0402666666666667</v>
      </c>
      <c r="O68" s="12">
        <v>494.33294117647057</v>
      </c>
      <c r="P68" s="12">
        <v>492.40705882352944</v>
      </c>
      <c r="Q68" s="12">
        <v>3863.6373684210535</v>
      </c>
      <c r="R68" s="12">
        <v>1461.355263157895</v>
      </c>
      <c r="S68" s="34">
        <v>0.17</v>
      </c>
      <c r="X68" s="23">
        <f>[1]ישיר!D57/1000</f>
        <v>6485.8509999999997</v>
      </c>
      <c r="Y68" s="23">
        <v>3996.3890000000001</v>
      </c>
      <c r="Z68" s="23">
        <f>[1]עקיף!H57</f>
        <v>872.69999999999993</v>
      </c>
      <c r="AA68" s="23">
        <f>[1]עקיף!P57</f>
        <v>663</v>
      </c>
      <c r="AB68" s="23">
        <f>[1]עקיף!Q57</f>
        <v>4556.7</v>
      </c>
      <c r="AH68" s="3">
        <v>22301.978962000001</v>
      </c>
      <c r="AI68" s="4">
        <v>197.3</v>
      </c>
      <c r="AK68" s="61"/>
      <c r="AL68" s="74">
        <v>43.799804519686298</v>
      </c>
      <c r="AM68" s="72">
        <v>14640</v>
      </c>
      <c r="AT68" s="67"/>
      <c r="AU68" s="68"/>
      <c r="AV68" s="68"/>
      <c r="AW68" s="68"/>
    </row>
    <row r="69" spans="1:49">
      <c r="A69" s="28">
        <v>36647</v>
      </c>
      <c r="B69" s="29">
        <f t="shared" si="0"/>
        <v>5</v>
      </c>
      <c r="C69" s="29">
        <f t="shared" si="1"/>
        <v>2</v>
      </c>
      <c r="D69" s="29">
        <f t="shared" si="2"/>
        <v>2000</v>
      </c>
      <c r="E69" s="11">
        <v>71.253403745599996</v>
      </c>
      <c r="F69" s="36">
        <v>7663</v>
      </c>
      <c r="G69" s="36">
        <v>5039</v>
      </c>
      <c r="H69" s="37">
        <v>3412.0999999999995</v>
      </c>
      <c r="I69" s="38">
        <v>908.19999999999993</v>
      </c>
      <c r="L69" s="23">
        <v>28.788181818181815</v>
      </c>
      <c r="M69" s="30">
        <v>99.64</v>
      </c>
      <c r="N69" s="30">
        <v>4.1455500000000018</v>
      </c>
      <c r="O69" s="12">
        <v>512.14428571428562</v>
      </c>
      <c r="P69" s="12">
        <v>511.29095238095243</v>
      </c>
      <c r="Q69" s="12">
        <v>3528.4168181818181</v>
      </c>
      <c r="R69" s="12">
        <v>1418.4795454545454</v>
      </c>
      <c r="S69" s="34">
        <v>0.17</v>
      </c>
      <c r="X69" s="23">
        <f>[1]ישיר!D58/1000</f>
        <v>8227.4770000000008</v>
      </c>
      <c r="Y69" s="23">
        <v>5641.9870000000001</v>
      </c>
      <c r="Z69" s="23">
        <f>[1]עקיף!H58</f>
        <v>908.19999999999993</v>
      </c>
      <c r="AA69" s="23">
        <f>[1]עקיף!P58</f>
        <v>733.50000000000011</v>
      </c>
      <c r="AB69" s="23">
        <f>[1]עקיף!Q58</f>
        <v>5053.7999999999993</v>
      </c>
      <c r="AH69" s="3">
        <v>22264.061412999999</v>
      </c>
      <c r="AI69" s="4">
        <v>197.9</v>
      </c>
      <c r="AK69" s="61"/>
      <c r="AL69" s="74">
        <v>44.142829602887957</v>
      </c>
      <c r="AM69" s="72">
        <v>13128</v>
      </c>
      <c r="AT69" s="67"/>
      <c r="AU69" s="68"/>
      <c r="AV69" s="68"/>
      <c r="AW69" s="68"/>
    </row>
    <row r="70" spans="1:49">
      <c r="A70" s="28">
        <v>36678</v>
      </c>
      <c r="B70" s="29">
        <f t="shared" ref="B70:B133" si="3">MONTH(A70)</f>
        <v>6</v>
      </c>
      <c r="C70" s="29">
        <f t="shared" ref="C70:C133" si="4">ROUNDUP(B70/3,0)</f>
        <v>2</v>
      </c>
      <c r="D70" s="29">
        <f t="shared" ref="D70:D133" si="5">YEAR(A70)</f>
        <v>2000</v>
      </c>
      <c r="E70" s="11">
        <v>71.453741338100002</v>
      </c>
      <c r="F70" s="36">
        <v>6739</v>
      </c>
      <c r="G70" s="36">
        <v>4033</v>
      </c>
      <c r="H70" s="37">
        <v>2628.2000000000003</v>
      </c>
      <c r="I70" s="38">
        <v>955.6</v>
      </c>
      <c r="L70" s="23">
        <v>31.822272727272722</v>
      </c>
      <c r="M70" s="30">
        <v>100.35</v>
      </c>
      <c r="N70" s="30">
        <v>4.1069047619047616</v>
      </c>
      <c r="O70" s="12">
        <v>545.61299999999994</v>
      </c>
      <c r="P70" s="12">
        <v>543.55950000000007</v>
      </c>
      <c r="Q70" s="12">
        <v>3865.4768181818176</v>
      </c>
      <c r="R70" s="12">
        <v>1461.9590909090909</v>
      </c>
      <c r="S70" s="34">
        <v>0.17</v>
      </c>
      <c r="X70" s="23">
        <f>[1]ישיר!D59/1000</f>
        <v>6922.4650000000001</v>
      </c>
      <c r="Y70" s="23">
        <v>4164.9120000000003</v>
      </c>
      <c r="Z70" s="23">
        <f>[1]עקיף!H59</f>
        <v>955.6</v>
      </c>
      <c r="AA70" s="23">
        <f>[1]עקיף!P59</f>
        <v>710.5</v>
      </c>
      <c r="AB70" s="23">
        <f>[1]עקיף!Q59</f>
        <v>4294.3</v>
      </c>
      <c r="AH70" s="3">
        <v>22273.720453999998</v>
      </c>
      <c r="AI70" s="4">
        <v>195.2</v>
      </c>
      <c r="AK70" s="61"/>
      <c r="AL70" s="74">
        <v>44.28275902087578</v>
      </c>
      <c r="AM70" s="72">
        <v>15300</v>
      </c>
      <c r="AT70" s="67"/>
      <c r="AU70" s="68"/>
      <c r="AV70" s="68"/>
      <c r="AW70" s="68"/>
    </row>
    <row r="71" spans="1:49">
      <c r="A71" s="28">
        <v>36708</v>
      </c>
      <c r="B71" s="29">
        <f t="shared" si="3"/>
        <v>7</v>
      </c>
      <c r="C71" s="29">
        <f t="shared" si="4"/>
        <v>3</v>
      </c>
      <c r="D71" s="29">
        <f t="shared" si="5"/>
        <v>2000</v>
      </c>
      <c r="E71" s="11">
        <v>71.654078930599994</v>
      </c>
      <c r="F71" s="36">
        <v>7314</v>
      </c>
      <c r="G71" s="36">
        <v>5628</v>
      </c>
      <c r="H71" s="37">
        <v>3871.1</v>
      </c>
      <c r="I71" s="38">
        <v>956.19999999999993</v>
      </c>
      <c r="L71" s="23">
        <v>29.696842105263158</v>
      </c>
      <c r="M71" s="30">
        <v>99.27</v>
      </c>
      <c r="N71" s="30">
        <v>4.0894761904761889</v>
      </c>
      <c r="O71" s="12">
        <v>548.39227272727283</v>
      </c>
      <c r="P71" s="12">
        <v>546.22409090909082</v>
      </c>
      <c r="Q71" s="12">
        <v>4017.684999999999</v>
      </c>
      <c r="R71" s="12">
        <v>1473.0024999999998</v>
      </c>
      <c r="S71" s="34">
        <v>0.17</v>
      </c>
      <c r="X71" s="23">
        <f>[1]ישיר!D60/1000</f>
        <v>7243.9610000000002</v>
      </c>
      <c r="Y71" s="23">
        <v>4980.5</v>
      </c>
      <c r="Z71" s="23">
        <f>[1]עקיף!H60</f>
        <v>956.19999999999993</v>
      </c>
      <c r="AA71" s="23">
        <f>[1]עקיף!P60</f>
        <v>776.00000000000011</v>
      </c>
      <c r="AB71" s="23">
        <f>[1]עקיף!Q60</f>
        <v>5603.3</v>
      </c>
      <c r="AH71" s="3">
        <v>22155.257879000001</v>
      </c>
      <c r="AI71" s="4">
        <v>194.1</v>
      </c>
      <c r="AK71" s="61"/>
      <c r="AL71" s="74">
        <v>44.405122906908659</v>
      </c>
      <c r="AM71" s="72">
        <v>13512</v>
      </c>
      <c r="AT71" s="67"/>
      <c r="AU71" s="68"/>
      <c r="AV71" s="68"/>
      <c r="AW71" s="68"/>
    </row>
    <row r="72" spans="1:49">
      <c r="A72" s="28">
        <v>36739</v>
      </c>
      <c r="B72" s="29">
        <f t="shared" si="3"/>
        <v>8</v>
      </c>
      <c r="C72" s="29">
        <f t="shared" si="4"/>
        <v>3</v>
      </c>
      <c r="D72" s="29">
        <f t="shared" si="5"/>
        <v>2000</v>
      </c>
      <c r="E72" s="11">
        <v>71.253403745599996</v>
      </c>
      <c r="F72" s="36">
        <v>7086</v>
      </c>
      <c r="G72" s="36">
        <v>4904</v>
      </c>
      <c r="H72" s="39">
        <v>3107.8</v>
      </c>
      <c r="I72" s="38">
        <v>1025.7</v>
      </c>
      <c r="L72" s="23">
        <v>31.263913043478258</v>
      </c>
      <c r="M72" s="30">
        <v>100.39</v>
      </c>
      <c r="N72" s="30">
        <v>4.0480000000000009</v>
      </c>
      <c r="O72" s="12">
        <v>551.09727272727287</v>
      </c>
      <c r="P72" s="12">
        <v>550.28409090909088</v>
      </c>
      <c r="Q72" s="12">
        <v>3909.5969565217397</v>
      </c>
      <c r="R72" s="12">
        <v>1485.4582608695653</v>
      </c>
      <c r="S72" s="34">
        <v>0.17</v>
      </c>
      <c r="X72" s="23">
        <f>[1]ישיר!D61/1000</f>
        <v>7066.6210000000001</v>
      </c>
      <c r="Y72" s="23">
        <v>4750.5590000000002</v>
      </c>
      <c r="Z72" s="23">
        <f>[1]עקיף!H61</f>
        <v>1025.7</v>
      </c>
      <c r="AA72" s="23">
        <f>[1]עקיף!P61</f>
        <v>786</v>
      </c>
      <c r="AB72" s="23">
        <f>[1]עקיף!Q61</f>
        <v>4919.5</v>
      </c>
      <c r="AH72" s="3">
        <v>22161.884193000002</v>
      </c>
      <c r="AI72" s="4">
        <v>192.6</v>
      </c>
      <c r="AK72" s="61"/>
      <c r="AL72" s="74">
        <v>44.522166110240299</v>
      </c>
      <c r="AM72" s="72">
        <v>14124</v>
      </c>
      <c r="AT72" s="67"/>
      <c r="AU72" s="68"/>
      <c r="AV72" s="68"/>
      <c r="AW72" s="68"/>
    </row>
    <row r="73" spans="1:49">
      <c r="A73" s="28">
        <v>36770</v>
      </c>
      <c r="B73" s="29">
        <f t="shared" si="3"/>
        <v>9</v>
      </c>
      <c r="C73" s="29">
        <f t="shared" si="4"/>
        <v>3</v>
      </c>
      <c r="D73" s="29">
        <f t="shared" si="5"/>
        <v>2000</v>
      </c>
      <c r="E73" s="11">
        <v>70.852728560499997</v>
      </c>
      <c r="F73" s="36">
        <v>7331</v>
      </c>
      <c r="G73" s="36">
        <v>5271</v>
      </c>
      <c r="H73" s="37">
        <v>3607.7999999999997</v>
      </c>
      <c r="I73" s="38">
        <v>782.69999999999993</v>
      </c>
      <c r="L73" s="23">
        <v>33.884</v>
      </c>
      <c r="M73" s="30">
        <v>102.39</v>
      </c>
      <c r="N73" s="30">
        <v>4.0385499999999999</v>
      </c>
      <c r="O73" s="12">
        <v>562.83400000000006</v>
      </c>
      <c r="P73" s="12">
        <v>561.4380000000001</v>
      </c>
      <c r="Q73" s="12">
        <v>3875.8220000000015</v>
      </c>
      <c r="R73" s="12">
        <v>1468.0539999999999</v>
      </c>
      <c r="S73" s="34">
        <v>0.17</v>
      </c>
      <c r="X73" s="23">
        <f>[1]ישיר!D62/1000</f>
        <v>7267.2539999999999</v>
      </c>
      <c r="Y73" s="23">
        <v>4879.0290000000005</v>
      </c>
      <c r="Z73" s="23">
        <f>[1]עקיף!H62</f>
        <v>782.69999999999993</v>
      </c>
      <c r="AA73" s="23">
        <f>[1]עקיף!P62</f>
        <v>724.59999999999991</v>
      </c>
      <c r="AB73" s="23">
        <f>[1]עקיף!Q62</f>
        <v>5115.0999999999995</v>
      </c>
      <c r="AH73" s="3">
        <v>22160.195076</v>
      </c>
      <c r="AI73" s="4">
        <v>191.2</v>
      </c>
      <c r="AK73" s="61"/>
      <c r="AL73" s="74">
        <v>44.773556704340997</v>
      </c>
      <c r="AM73" s="72">
        <v>16404</v>
      </c>
      <c r="AT73" s="67"/>
      <c r="AU73" s="68"/>
      <c r="AV73" s="68"/>
      <c r="AW73" s="68"/>
    </row>
    <row r="74" spans="1:49">
      <c r="A74" s="28">
        <v>36800</v>
      </c>
      <c r="B74" s="29">
        <f t="shared" si="3"/>
        <v>10</v>
      </c>
      <c r="C74" s="29">
        <f t="shared" si="4"/>
        <v>4</v>
      </c>
      <c r="D74" s="29">
        <f t="shared" si="5"/>
        <v>2000</v>
      </c>
      <c r="E74" s="11">
        <v>71.253403745599996</v>
      </c>
      <c r="F74" s="36">
        <v>7110</v>
      </c>
      <c r="G74" s="36">
        <v>5079</v>
      </c>
      <c r="H74" s="37">
        <v>3804.1</v>
      </c>
      <c r="I74" s="38">
        <v>830.1</v>
      </c>
      <c r="L74" s="23">
        <v>33.108636363636364</v>
      </c>
      <c r="M74" s="30">
        <v>103.15</v>
      </c>
      <c r="N74" s="30">
        <v>4.1052380952380956</v>
      </c>
      <c r="O74" s="12">
        <v>497.41099999999994</v>
      </c>
      <c r="P74" s="12">
        <v>492.63899999999995</v>
      </c>
      <c r="Q74" s="12">
        <v>3333.8245454545454</v>
      </c>
      <c r="R74" s="12">
        <v>1390.1440909090909</v>
      </c>
      <c r="S74" s="34">
        <v>0.17</v>
      </c>
      <c r="X74" s="23">
        <f>[1]ישיר!D63/1000</f>
        <v>7072.5829999999996</v>
      </c>
      <c r="Y74" s="23">
        <v>4761.4030000000002</v>
      </c>
      <c r="Z74" s="23">
        <f>[1]עקיף!H63</f>
        <v>830.1</v>
      </c>
      <c r="AA74" s="23">
        <f>[1]עקיף!P63</f>
        <v>613.29999999999995</v>
      </c>
      <c r="AB74" s="23">
        <f>[1]עקיף!Q63</f>
        <v>5247.5</v>
      </c>
      <c r="AH74" s="3">
        <v>21964.282982000001</v>
      </c>
      <c r="AI74" s="4">
        <v>192.1</v>
      </c>
      <c r="AK74" s="61"/>
      <c r="AL74" s="74">
        <v>44.957181343180068</v>
      </c>
      <c r="AM74" s="72">
        <v>15600</v>
      </c>
      <c r="AT74" s="67"/>
      <c r="AU74" s="68"/>
      <c r="AV74" s="68"/>
      <c r="AW74" s="68"/>
    </row>
    <row r="75" spans="1:49">
      <c r="A75" s="28">
        <v>36831</v>
      </c>
      <c r="B75" s="29">
        <f t="shared" si="3"/>
        <v>11</v>
      </c>
      <c r="C75" s="29">
        <f t="shared" si="4"/>
        <v>4</v>
      </c>
      <c r="D75" s="29">
        <f t="shared" si="5"/>
        <v>2000</v>
      </c>
      <c r="E75" s="11">
        <v>71.253403745599996</v>
      </c>
      <c r="F75" s="36">
        <v>7054</v>
      </c>
      <c r="G75" s="36">
        <v>4198</v>
      </c>
      <c r="H75" s="37">
        <v>2640.1979999999999</v>
      </c>
      <c r="I75" s="38">
        <v>888.4</v>
      </c>
      <c r="L75" s="23">
        <v>34.417142857142856</v>
      </c>
      <c r="M75" s="30">
        <v>103.02</v>
      </c>
      <c r="N75" s="30">
        <v>4.1096818181818184</v>
      </c>
      <c r="O75" s="12">
        <v>490.76272727272732</v>
      </c>
      <c r="P75" s="12">
        <v>483.41818181818184</v>
      </c>
      <c r="Q75" s="12">
        <v>3055.4152380952378</v>
      </c>
      <c r="R75" s="12">
        <v>1375.037619047619</v>
      </c>
      <c r="S75" s="34">
        <v>0.17</v>
      </c>
      <c r="X75" s="23">
        <f>[1]ישיר!D64/1000</f>
        <v>7261.3549999999996</v>
      </c>
      <c r="Y75" s="23">
        <v>5020.6639999999998</v>
      </c>
      <c r="Z75" s="23">
        <f>[1]עקיף!H64</f>
        <v>888.4</v>
      </c>
      <c r="AA75" s="23">
        <f>[1]עקיף!P64</f>
        <v>596.5</v>
      </c>
      <c r="AB75" s="23">
        <f>[1]עקיף!Q64</f>
        <v>4125.098</v>
      </c>
      <c r="AH75" s="3">
        <v>21844.597694</v>
      </c>
      <c r="AI75" s="4">
        <v>188.8</v>
      </c>
      <c r="AK75" s="61"/>
      <c r="AL75" s="74">
        <v>45.153941138610371</v>
      </c>
      <c r="AM75" s="72">
        <v>14676</v>
      </c>
      <c r="AT75" s="67"/>
      <c r="AU75" s="68"/>
      <c r="AV75" s="68"/>
      <c r="AW75" s="68"/>
    </row>
    <row r="76" spans="1:49">
      <c r="A76" s="28">
        <v>36861</v>
      </c>
      <c r="B76" s="29">
        <f t="shared" si="3"/>
        <v>12</v>
      </c>
      <c r="C76" s="29">
        <f t="shared" si="4"/>
        <v>4</v>
      </c>
      <c r="D76" s="29">
        <f t="shared" si="5"/>
        <v>2000</v>
      </c>
      <c r="E76" s="11">
        <v>71.186624548099999</v>
      </c>
      <c r="F76" s="36">
        <v>6134.3</v>
      </c>
      <c r="G76" s="36">
        <v>4255.6030000000028</v>
      </c>
      <c r="H76" s="37">
        <v>2613.8000000000002</v>
      </c>
      <c r="I76" s="38">
        <v>899.30000000000007</v>
      </c>
      <c r="L76" s="23">
        <v>28.436500000000002</v>
      </c>
      <c r="M76" s="30">
        <v>102.86</v>
      </c>
      <c r="N76" s="30">
        <v>4.0811578947368412</v>
      </c>
      <c r="O76" s="12">
        <v>508.35476190476192</v>
      </c>
      <c r="P76" s="12">
        <v>491.85047619047623</v>
      </c>
      <c r="Q76" s="12">
        <v>2657.8074999999999</v>
      </c>
      <c r="R76" s="12">
        <v>1330.9295000000002</v>
      </c>
      <c r="S76" s="34">
        <v>0.17</v>
      </c>
      <c r="X76" s="23">
        <f>[1]ישיר!D65/1000</f>
        <v>5657.1440000000002</v>
      </c>
      <c r="Y76" s="23">
        <v>4645.549</v>
      </c>
      <c r="Z76" s="23">
        <f>[1]עקיף!H65</f>
        <v>899.30000000000007</v>
      </c>
      <c r="AA76" s="23">
        <f>[1]עקיף!P65</f>
        <v>651.80000000000007</v>
      </c>
      <c r="AB76" s="23">
        <f>[1]עקיף!Q65</f>
        <v>4164.9000000000005</v>
      </c>
      <c r="AH76" s="3">
        <v>23281.471072</v>
      </c>
      <c r="AI76" s="4">
        <v>188</v>
      </c>
      <c r="AK76" s="61"/>
      <c r="AL76" s="74">
        <v>45.24414379378193</v>
      </c>
      <c r="AM76" s="72">
        <v>12144</v>
      </c>
      <c r="AT76" s="67"/>
      <c r="AU76" s="68"/>
      <c r="AV76" s="68"/>
      <c r="AW76" s="68"/>
    </row>
    <row r="77" spans="1:49">
      <c r="A77" s="28">
        <v>36892</v>
      </c>
      <c r="B77" s="29">
        <f t="shared" si="3"/>
        <v>1</v>
      </c>
      <c r="C77" s="29">
        <f t="shared" si="4"/>
        <v>1</v>
      </c>
      <c r="D77" s="29">
        <f t="shared" si="5"/>
        <v>2001</v>
      </c>
      <c r="E77" s="11">
        <v>70.768853888400002</v>
      </c>
      <c r="F77" s="40">
        <v>7156.4</v>
      </c>
      <c r="G77" s="41">
        <v>5852.1</v>
      </c>
      <c r="H77" s="37">
        <v>4468</v>
      </c>
      <c r="I77" s="38">
        <v>924</v>
      </c>
      <c r="L77" s="23">
        <v>29.585714285714289</v>
      </c>
      <c r="M77" s="30">
        <v>101.63</v>
      </c>
      <c r="N77" s="30">
        <v>4.1193181818181817</v>
      </c>
      <c r="O77" s="12">
        <v>473.86739130434785</v>
      </c>
      <c r="P77" s="12">
        <v>461.15999999999991</v>
      </c>
      <c r="Q77" s="12">
        <v>2656.8642857142863</v>
      </c>
      <c r="R77" s="12">
        <v>1335.6390476190475</v>
      </c>
      <c r="S77" s="34">
        <v>0.17</v>
      </c>
      <c r="X77" s="23">
        <f>[1]ישיר!D66/1000</f>
        <v>7889.21</v>
      </c>
      <c r="Y77" s="23">
        <v>5175.8280000000004</v>
      </c>
      <c r="Z77" s="23">
        <f>[1]עקיף!H66</f>
        <v>924</v>
      </c>
      <c r="AA77" s="23">
        <f>[1]עקיף!P66</f>
        <v>602</v>
      </c>
      <c r="AB77" s="23">
        <f>[1]עקיף!Q66</f>
        <v>5994</v>
      </c>
      <c r="AH77" s="3">
        <v>23845.394418</v>
      </c>
      <c r="AI77" s="4">
        <v>188.6</v>
      </c>
      <c r="AK77" s="61"/>
      <c r="AL77" s="74">
        <v>45.308960728370863</v>
      </c>
      <c r="AM77" s="72">
        <v>15804</v>
      </c>
      <c r="AT77" s="67"/>
      <c r="AU77" s="68"/>
      <c r="AV77" s="68"/>
      <c r="AW77" s="68"/>
    </row>
    <row r="78" spans="1:49">
      <c r="A78" s="28">
        <v>36923</v>
      </c>
      <c r="B78" s="29">
        <f t="shared" si="3"/>
        <v>2</v>
      </c>
      <c r="C78" s="29">
        <f t="shared" si="4"/>
        <v>1</v>
      </c>
      <c r="D78" s="29">
        <f t="shared" si="5"/>
        <v>2001</v>
      </c>
      <c r="E78" s="11">
        <v>70.697800822299996</v>
      </c>
      <c r="F78" s="40">
        <v>7501.8</v>
      </c>
      <c r="G78" s="41">
        <v>3927.8</v>
      </c>
      <c r="H78" s="37">
        <v>2458</v>
      </c>
      <c r="I78" s="38">
        <v>851</v>
      </c>
      <c r="L78" s="23">
        <v>29.609473684210528</v>
      </c>
      <c r="M78" s="30">
        <v>98.55</v>
      </c>
      <c r="N78" s="30">
        <v>4.1215263157894739</v>
      </c>
      <c r="O78" s="12">
        <v>463.41578947368419</v>
      </c>
      <c r="P78" s="12">
        <v>450.81789473684216</v>
      </c>
      <c r="Q78" s="12">
        <v>2449.5694736842111</v>
      </c>
      <c r="R78" s="12">
        <v>1305.7515789473684</v>
      </c>
      <c r="S78" s="34">
        <v>0.17</v>
      </c>
      <c r="X78" s="23">
        <f>[1]ישיר!D67/1000</f>
        <v>7179.55</v>
      </c>
      <c r="Y78" s="23">
        <v>5027.8339999999998</v>
      </c>
      <c r="Z78" s="23">
        <f>[1]עקיף!H67</f>
        <v>851</v>
      </c>
      <c r="AA78" s="23">
        <f>[1]עקיף!P67</f>
        <v>674</v>
      </c>
      <c r="AB78" s="23">
        <f>[1]עקיף!Q67</f>
        <v>3983</v>
      </c>
      <c r="AH78" s="3">
        <v>23631.005786000002</v>
      </c>
      <c r="AI78" s="4">
        <v>188.4</v>
      </c>
      <c r="AK78" s="61"/>
      <c r="AL78" s="74">
        <v>45.065024476153745</v>
      </c>
      <c r="AM78" s="72">
        <v>13476</v>
      </c>
      <c r="AT78" s="67"/>
      <c r="AU78" s="68"/>
      <c r="AV78" s="68"/>
      <c r="AW78" s="68"/>
    </row>
    <row r="79" spans="1:49">
      <c r="A79" s="28">
        <v>36951</v>
      </c>
      <c r="B79" s="29">
        <f t="shared" si="3"/>
        <v>3</v>
      </c>
      <c r="C79" s="29">
        <f t="shared" si="4"/>
        <v>1</v>
      </c>
      <c r="D79" s="29">
        <f t="shared" si="5"/>
        <v>2001</v>
      </c>
      <c r="E79" s="11">
        <v>70.839906954599996</v>
      </c>
      <c r="F79" s="40">
        <v>7797.7</v>
      </c>
      <c r="G79" s="41">
        <v>4933.2</v>
      </c>
      <c r="H79" s="37">
        <v>3355</v>
      </c>
      <c r="I79" s="38">
        <v>998</v>
      </c>
      <c r="L79" s="23">
        <v>27.244545454545456</v>
      </c>
      <c r="M79" s="30">
        <v>99.15</v>
      </c>
      <c r="N79" s="30">
        <v>4.1646190476190474</v>
      </c>
      <c r="O79" s="12">
        <v>421.94904761904763</v>
      </c>
      <c r="P79" s="12">
        <v>411.31523809523804</v>
      </c>
      <c r="Q79" s="12">
        <v>1986.661818181818</v>
      </c>
      <c r="R79" s="12">
        <v>1185.8500000000001</v>
      </c>
      <c r="S79" s="34">
        <v>0.17</v>
      </c>
      <c r="X79" s="23">
        <f>[1]ישיר!D68/1000</f>
        <v>8247.0030000000006</v>
      </c>
      <c r="Y79" s="23">
        <v>5370.491</v>
      </c>
      <c r="Z79" s="23">
        <f>[1]עקיף!H68</f>
        <v>998</v>
      </c>
      <c r="AA79" s="23">
        <f>[1]עקיף!P68</f>
        <v>608</v>
      </c>
      <c r="AB79" s="23">
        <f>[1]עקיף!Q68</f>
        <v>4961</v>
      </c>
      <c r="AH79" s="3">
        <v>23953.441406999998</v>
      </c>
      <c r="AI79" s="4">
        <v>187.2</v>
      </c>
      <c r="AK79" s="61"/>
      <c r="AL79" s="74">
        <v>44.902126476579497</v>
      </c>
      <c r="AM79" s="72">
        <v>16728</v>
      </c>
      <c r="AT79" s="67"/>
      <c r="AU79" s="68"/>
      <c r="AV79" s="68"/>
      <c r="AW79" s="68"/>
    </row>
    <row r="80" spans="1:49">
      <c r="A80" s="28">
        <v>36982</v>
      </c>
      <c r="B80" s="29">
        <f t="shared" si="3"/>
        <v>4</v>
      </c>
      <c r="C80" s="29">
        <f t="shared" si="4"/>
        <v>2</v>
      </c>
      <c r="D80" s="29">
        <f t="shared" si="5"/>
        <v>2001</v>
      </c>
      <c r="E80" s="11">
        <v>71.479384550000006</v>
      </c>
      <c r="F80" s="40">
        <v>7055.1</v>
      </c>
      <c r="G80" s="41">
        <v>4374.7</v>
      </c>
      <c r="H80" s="37">
        <v>3024</v>
      </c>
      <c r="I80" s="38">
        <v>706</v>
      </c>
      <c r="L80" s="23">
        <v>27.49</v>
      </c>
      <c r="M80" s="30">
        <v>99.4</v>
      </c>
      <c r="N80" s="30">
        <v>4.1759999999999993</v>
      </c>
      <c r="O80" s="12">
        <v>401.84210526315792</v>
      </c>
      <c r="P80" s="12">
        <v>394.03894736842102</v>
      </c>
      <c r="Q80" s="12">
        <v>1933.9279999999999</v>
      </c>
      <c r="R80" s="12">
        <v>1189.837</v>
      </c>
      <c r="S80" s="34">
        <v>0.17</v>
      </c>
      <c r="X80" s="23">
        <f>[1]ישיר!D69/1000</f>
        <v>6732.9939999999997</v>
      </c>
      <c r="Y80" s="23">
        <v>4662.875</v>
      </c>
      <c r="Z80" s="23">
        <f>[1]עקיף!H69</f>
        <v>706</v>
      </c>
      <c r="AA80" s="23">
        <f>[1]עקיף!P69</f>
        <v>570</v>
      </c>
      <c r="AB80" s="23">
        <f>[1]עקיף!Q69</f>
        <v>4300</v>
      </c>
      <c r="AH80" s="3">
        <v>23533.646742000001</v>
      </c>
      <c r="AI80" s="4">
        <v>185.6</v>
      </c>
      <c r="AK80" s="61"/>
      <c r="AL80" s="74">
        <v>44.699989625486964</v>
      </c>
      <c r="AM80" s="72">
        <v>14208</v>
      </c>
      <c r="AT80" s="67"/>
      <c r="AU80" s="68"/>
      <c r="AV80" s="68"/>
      <c r="AW80" s="68"/>
    </row>
    <row r="81" spans="1:49">
      <c r="A81" s="28">
        <v>37012</v>
      </c>
      <c r="B81" s="29">
        <f t="shared" si="3"/>
        <v>5</v>
      </c>
      <c r="C81" s="29">
        <f t="shared" si="4"/>
        <v>2</v>
      </c>
      <c r="D81" s="29">
        <f t="shared" si="5"/>
        <v>2001</v>
      </c>
      <c r="E81" s="11">
        <v>71.763596814600007</v>
      </c>
      <c r="F81" s="40">
        <v>7823.5</v>
      </c>
      <c r="G81" s="41">
        <v>4833.6000000000004</v>
      </c>
      <c r="H81" s="37">
        <v>3378</v>
      </c>
      <c r="I81" s="38">
        <v>833</v>
      </c>
      <c r="L81" s="23">
        <v>28.629090909090909</v>
      </c>
      <c r="M81" s="30">
        <v>100.79</v>
      </c>
      <c r="N81" s="30">
        <v>4.1400454545454544</v>
      </c>
      <c r="O81" s="12">
        <v>429.18142857142857</v>
      </c>
      <c r="P81" s="12">
        <v>419.23523809523806</v>
      </c>
      <c r="Q81" s="12">
        <v>2181.1286363636364</v>
      </c>
      <c r="R81" s="12">
        <v>1270.3686363636364</v>
      </c>
      <c r="S81" s="34">
        <v>0.17</v>
      </c>
      <c r="X81" s="23">
        <f>[1]ישיר!D70/1000</f>
        <v>7538.9290000000001</v>
      </c>
      <c r="Y81" s="23">
        <v>5442.6440000000002</v>
      </c>
      <c r="Z81" s="23">
        <f>[1]עקיף!H70</f>
        <v>833</v>
      </c>
      <c r="AA81" s="23">
        <f>[1]עקיף!P70</f>
        <v>650</v>
      </c>
      <c r="AB81" s="23">
        <f>[1]עקיף!Q70</f>
        <v>4861</v>
      </c>
      <c r="AH81" s="3">
        <v>23241.568266999999</v>
      </c>
      <c r="AI81" s="4">
        <v>185.7</v>
      </c>
      <c r="AK81" s="61"/>
      <c r="AL81" s="74">
        <v>44.50495212576562</v>
      </c>
      <c r="AM81" s="72">
        <v>15132</v>
      </c>
      <c r="AT81" s="67"/>
      <c r="AU81" s="68"/>
      <c r="AV81" s="68"/>
      <c r="AW81" s="68"/>
    </row>
    <row r="82" spans="1:49">
      <c r="A82" s="28">
        <v>37043</v>
      </c>
      <c r="B82" s="29">
        <f t="shared" si="3"/>
        <v>6</v>
      </c>
      <c r="C82" s="29">
        <f t="shared" si="4"/>
        <v>2</v>
      </c>
      <c r="D82" s="29">
        <f t="shared" si="5"/>
        <v>2001</v>
      </c>
      <c r="E82" s="11">
        <v>71.976756012999999</v>
      </c>
      <c r="F82" s="40">
        <v>6877</v>
      </c>
      <c r="G82" s="41">
        <v>4229.8999999999996</v>
      </c>
      <c r="H82" s="37">
        <v>2784</v>
      </c>
      <c r="I82" s="38">
        <v>781</v>
      </c>
      <c r="L82" s="23">
        <v>27.599047619047617</v>
      </c>
      <c r="M82" s="30">
        <v>102.11</v>
      </c>
      <c r="N82" s="30">
        <v>4.1625714285714279</v>
      </c>
      <c r="O82" s="12">
        <v>416.2045</v>
      </c>
      <c r="P82" s="12">
        <v>407.5304999999999</v>
      </c>
      <c r="Q82" s="12">
        <v>2112.0528571428572</v>
      </c>
      <c r="R82" s="12">
        <v>1238.7104761904761</v>
      </c>
      <c r="S82" s="34">
        <v>0.17</v>
      </c>
      <c r="X82" s="23">
        <f>[1]ישיר!D71/1000</f>
        <v>6925.29</v>
      </c>
      <c r="Y82" s="23">
        <v>4850.13</v>
      </c>
      <c r="Z82" s="23">
        <f>[1]עקיף!H71</f>
        <v>781</v>
      </c>
      <c r="AA82" s="23">
        <f>[1]עקיף!P71</f>
        <v>663</v>
      </c>
      <c r="AB82" s="23">
        <f>[1]עקיף!Q71</f>
        <v>4228</v>
      </c>
      <c r="AH82" s="3">
        <v>23207.096511</v>
      </c>
      <c r="AI82" s="4">
        <v>185.7</v>
      </c>
      <c r="AK82" s="61"/>
      <c r="AL82" s="74">
        <v>44.276338736096861</v>
      </c>
      <c r="AM82" s="72">
        <v>12420</v>
      </c>
      <c r="AT82" s="67"/>
      <c r="AU82" s="68"/>
      <c r="AV82" s="68"/>
      <c r="AW82" s="68"/>
    </row>
    <row r="83" spans="1:49">
      <c r="A83" s="28">
        <v>37073</v>
      </c>
      <c r="B83" s="29">
        <f t="shared" si="3"/>
        <v>7</v>
      </c>
      <c r="C83" s="29">
        <f t="shared" si="4"/>
        <v>3</v>
      </c>
      <c r="D83" s="29">
        <f t="shared" si="5"/>
        <v>2001</v>
      </c>
      <c r="E83" s="11">
        <v>72.2609682776</v>
      </c>
      <c r="F83" s="40">
        <v>7483.1</v>
      </c>
      <c r="G83" s="41">
        <v>5427.3</v>
      </c>
      <c r="H83" s="37">
        <v>3722</v>
      </c>
      <c r="I83" s="38">
        <v>972</v>
      </c>
      <c r="L83" s="23">
        <v>26.424761904761901</v>
      </c>
      <c r="M83" s="30">
        <v>102.91</v>
      </c>
      <c r="N83" s="30">
        <v>4.1982727272727285</v>
      </c>
      <c r="O83" s="12">
        <v>437.69545454545454</v>
      </c>
      <c r="P83" s="12">
        <v>423.81136363636364</v>
      </c>
      <c r="Q83" s="12">
        <v>2033.9785714285713</v>
      </c>
      <c r="R83" s="12">
        <v>1204.449523809524</v>
      </c>
      <c r="S83" s="34">
        <v>0.17</v>
      </c>
      <c r="X83" s="23">
        <f>[1]ישיר!D72/1000</f>
        <v>7992.7489999999998</v>
      </c>
      <c r="Y83" s="23">
        <v>5585.5450000000001</v>
      </c>
      <c r="Z83" s="23">
        <f>[1]עקיף!H72</f>
        <v>972</v>
      </c>
      <c r="AA83" s="23">
        <f>[1]עקיף!P72</f>
        <v>757</v>
      </c>
      <c r="AB83" s="23">
        <f>[1]עקיף!Q72</f>
        <v>5451</v>
      </c>
      <c r="AH83" s="3">
        <v>23593.487625000002</v>
      </c>
      <c r="AI83" s="4">
        <v>186</v>
      </c>
      <c r="AK83" s="61"/>
      <c r="AL83" s="74">
        <v>44.307734085921084</v>
      </c>
      <c r="AM83" s="72">
        <v>12552</v>
      </c>
      <c r="AT83" s="67"/>
      <c r="AU83" s="68"/>
      <c r="AV83" s="68"/>
      <c r="AW83" s="68"/>
    </row>
    <row r="84" spans="1:49">
      <c r="A84" s="28">
        <v>37104</v>
      </c>
      <c r="B84" s="29">
        <f t="shared" si="3"/>
        <v>8</v>
      </c>
      <c r="C84" s="29">
        <f t="shared" si="4"/>
        <v>3</v>
      </c>
      <c r="D84" s="29">
        <f t="shared" si="5"/>
        <v>2001</v>
      </c>
      <c r="E84" s="11">
        <v>72.474127476099994</v>
      </c>
      <c r="F84" s="40">
        <v>6920.9</v>
      </c>
      <c r="G84" s="41">
        <v>4752.3999999999996</v>
      </c>
      <c r="H84" s="37">
        <v>3116</v>
      </c>
      <c r="I84" s="38">
        <v>925</v>
      </c>
      <c r="L84" s="23">
        <v>27.373913043478261</v>
      </c>
      <c r="M84" s="30">
        <v>102.66</v>
      </c>
      <c r="N84" s="30">
        <v>4.2333478260869573</v>
      </c>
      <c r="O84" s="12">
        <v>441.86454545454541</v>
      </c>
      <c r="P84" s="12">
        <v>429.21090909090907</v>
      </c>
      <c r="Q84" s="12">
        <v>1929.7126086956521</v>
      </c>
      <c r="R84" s="12">
        <v>1178.5039130434782</v>
      </c>
      <c r="S84" s="34">
        <v>0.17</v>
      </c>
      <c r="X84" s="23">
        <f>[1]ישיר!D73/1000</f>
        <v>7277.701</v>
      </c>
      <c r="Y84" s="23">
        <v>5344.9219999999996</v>
      </c>
      <c r="Z84" s="23">
        <f>[1]עקיף!H73</f>
        <v>925</v>
      </c>
      <c r="AA84" s="23">
        <f>[1]עקיף!P73</f>
        <v>674</v>
      </c>
      <c r="AB84" s="23">
        <f>[1]עקיף!Q73</f>
        <v>4715</v>
      </c>
      <c r="AH84" s="3">
        <v>24034.707731999999</v>
      </c>
      <c r="AI84" s="4">
        <v>187.2</v>
      </c>
      <c r="AK84" s="61"/>
      <c r="AL84" s="74">
        <v>44.363507764179587</v>
      </c>
      <c r="AM84" s="72">
        <v>14304</v>
      </c>
      <c r="AT84" s="67"/>
      <c r="AU84" s="68"/>
      <c r="AV84" s="68"/>
      <c r="AW84" s="68"/>
    </row>
    <row r="85" spans="1:49">
      <c r="A85" s="28">
        <v>37135</v>
      </c>
      <c r="B85" s="29">
        <f t="shared" si="3"/>
        <v>9</v>
      </c>
      <c r="C85" s="29">
        <f t="shared" si="4"/>
        <v>3</v>
      </c>
      <c r="D85" s="29">
        <f t="shared" si="5"/>
        <v>2001</v>
      </c>
      <c r="E85" s="11">
        <v>72.616233608399995</v>
      </c>
      <c r="F85" s="40">
        <v>7358.4</v>
      </c>
      <c r="G85" s="41">
        <v>5263.8</v>
      </c>
      <c r="H85" s="37">
        <v>4101</v>
      </c>
      <c r="I85" s="38">
        <v>724</v>
      </c>
      <c r="L85" s="23">
        <v>26.199473684210524</v>
      </c>
      <c r="M85" s="30">
        <v>100.1</v>
      </c>
      <c r="N85" s="30">
        <v>4.3224666666666671</v>
      </c>
      <c r="O85" s="12">
        <v>393.97624999999999</v>
      </c>
      <c r="P85" s="12">
        <v>382.71875</v>
      </c>
      <c r="Q85" s="12">
        <v>1573.31</v>
      </c>
      <c r="R85" s="12">
        <v>1044.644</v>
      </c>
      <c r="S85" s="34">
        <v>0.17</v>
      </c>
      <c r="X85" s="23">
        <f>[1]ישיר!D74/1000</f>
        <v>7239.2420000000002</v>
      </c>
      <c r="Y85" s="23">
        <v>5111.5889999999999</v>
      </c>
      <c r="Z85" s="23">
        <f>[1]עקיף!H74</f>
        <v>724</v>
      </c>
      <c r="AA85" s="23">
        <f>[1]עקיף!P74</f>
        <v>666</v>
      </c>
      <c r="AB85" s="23">
        <f>[1]עקיף!Q74</f>
        <v>5491</v>
      </c>
      <c r="AH85" s="3">
        <v>24648.139190000002</v>
      </c>
      <c r="AI85" s="4">
        <v>187.3</v>
      </c>
      <c r="AK85" s="61"/>
      <c r="AL85" s="74">
        <v>44.264341277509182</v>
      </c>
      <c r="AM85" s="72">
        <v>13152</v>
      </c>
      <c r="AT85" s="67"/>
      <c r="AU85" s="68"/>
      <c r="AV85" s="68"/>
      <c r="AW85" s="68"/>
    </row>
    <row r="86" spans="1:49">
      <c r="A86" s="28">
        <v>37165</v>
      </c>
      <c r="B86" s="29">
        <f t="shared" si="3"/>
        <v>10</v>
      </c>
      <c r="C86" s="29">
        <f t="shared" si="4"/>
        <v>4</v>
      </c>
      <c r="D86" s="29">
        <f t="shared" si="5"/>
        <v>2001</v>
      </c>
      <c r="E86" s="11">
        <v>72.687286674600003</v>
      </c>
      <c r="F86" s="40">
        <v>5829.7</v>
      </c>
      <c r="G86" s="41">
        <v>4190.3999999999996</v>
      </c>
      <c r="H86" s="37">
        <v>2546</v>
      </c>
      <c r="I86" s="38">
        <v>761</v>
      </c>
      <c r="L86" s="23">
        <v>22.169565217391305</v>
      </c>
      <c r="M86" s="30">
        <v>97.16</v>
      </c>
      <c r="N86" s="30">
        <v>4.3147619047619061</v>
      </c>
      <c r="O86" s="12">
        <v>385.98210526315796</v>
      </c>
      <c r="P86" s="12">
        <v>372.65052631578953</v>
      </c>
      <c r="Q86" s="12">
        <v>1656.4282608695655</v>
      </c>
      <c r="R86" s="12">
        <v>1076.5904347826088</v>
      </c>
      <c r="S86" s="34">
        <v>0.17</v>
      </c>
      <c r="X86" s="23">
        <f>[1]ישיר!D75/1000</f>
        <v>6080.0929999999998</v>
      </c>
      <c r="Y86" s="23">
        <v>4508.9170000000004</v>
      </c>
      <c r="Z86" s="23">
        <f>[1]עקיף!H75</f>
        <v>761</v>
      </c>
      <c r="AA86" s="23">
        <f>[1]עקיף!P75</f>
        <v>643</v>
      </c>
      <c r="AB86" s="23">
        <f>[1]עקיף!Q75</f>
        <v>3950</v>
      </c>
      <c r="AH86" s="3">
        <v>24199.705418000001</v>
      </c>
      <c r="AI86" s="4">
        <v>185.6</v>
      </c>
      <c r="AK86" s="61"/>
      <c r="AL86" s="74">
        <v>44.203851166019916</v>
      </c>
      <c r="AM86" s="72">
        <v>14580</v>
      </c>
      <c r="AT86" s="67"/>
      <c r="AU86" s="68"/>
      <c r="AV86" s="68"/>
      <c r="AW86" s="68"/>
    </row>
    <row r="87" spans="1:49">
      <c r="A87" s="28">
        <v>37196</v>
      </c>
      <c r="B87" s="29">
        <f t="shared" si="3"/>
        <v>11</v>
      </c>
      <c r="C87" s="29">
        <f t="shared" si="4"/>
        <v>4</v>
      </c>
      <c r="D87" s="29">
        <f t="shared" si="5"/>
        <v>2001</v>
      </c>
      <c r="E87" s="11">
        <v>72.2609682776</v>
      </c>
      <c r="F87" s="40">
        <v>6451.9</v>
      </c>
      <c r="G87" s="41">
        <v>4544.3999999999996</v>
      </c>
      <c r="H87" s="37">
        <v>3378</v>
      </c>
      <c r="I87" s="38">
        <v>775</v>
      </c>
      <c r="L87" s="23">
        <v>19.634999999999998</v>
      </c>
      <c r="M87" s="30">
        <v>98.1</v>
      </c>
      <c r="N87" s="30">
        <v>4.2388636363636358</v>
      </c>
      <c r="O87" s="12">
        <v>402.95523809523809</v>
      </c>
      <c r="P87" s="12">
        <v>384.95714285714291</v>
      </c>
      <c r="Q87" s="12">
        <v>1870.0623809523811</v>
      </c>
      <c r="R87" s="12">
        <v>1129.6833333333334</v>
      </c>
      <c r="S87" s="34">
        <v>0.17</v>
      </c>
      <c r="X87" s="23">
        <f>[1]ישיר!D76/1000</f>
        <v>6434.1379999999999</v>
      </c>
      <c r="Y87" s="23">
        <v>4789.3040000000001</v>
      </c>
      <c r="Z87" s="23">
        <f>[1]עקיף!H76</f>
        <v>775</v>
      </c>
      <c r="AA87" s="23">
        <f>[1]עקיף!P76</f>
        <v>658</v>
      </c>
      <c r="AB87" s="23">
        <f>[1]עקיף!Q76</f>
        <v>4811</v>
      </c>
      <c r="AH87" s="3">
        <v>23316.910753</v>
      </c>
      <c r="AI87" s="4">
        <v>184.5</v>
      </c>
      <c r="AK87" s="61"/>
      <c r="AL87" s="74">
        <v>44.218711602029224</v>
      </c>
      <c r="AM87" s="72">
        <v>15852</v>
      </c>
      <c r="AT87" s="67"/>
      <c r="AU87" s="68"/>
      <c r="AV87" s="68"/>
      <c r="AW87" s="68"/>
    </row>
    <row r="88" spans="1:49">
      <c r="A88" s="28">
        <v>37226</v>
      </c>
      <c r="B88" s="29">
        <f t="shared" si="3"/>
        <v>12</v>
      </c>
      <c r="C88" s="29">
        <f t="shared" si="4"/>
        <v>4</v>
      </c>
      <c r="D88" s="29">
        <f t="shared" si="5"/>
        <v>2001</v>
      </c>
      <c r="E88" s="11">
        <v>72.189915211499994</v>
      </c>
      <c r="F88" s="40">
        <v>6720.9</v>
      </c>
      <c r="G88" s="41">
        <v>5143.2</v>
      </c>
      <c r="H88" s="37">
        <v>3111</v>
      </c>
      <c r="I88" s="38">
        <v>927</v>
      </c>
      <c r="L88" s="23">
        <v>19.388947368421054</v>
      </c>
      <c r="M88" s="30">
        <v>100.06</v>
      </c>
      <c r="N88" s="30">
        <v>4.2756499999999997</v>
      </c>
      <c r="O88" s="12">
        <v>423.67136363636359</v>
      </c>
      <c r="P88" s="12">
        <v>408.63318181818181</v>
      </c>
      <c r="Q88" s="12">
        <v>1977.7105000000004</v>
      </c>
      <c r="R88" s="12">
        <v>1144.9299999999998</v>
      </c>
      <c r="S88" s="34">
        <v>0.17</v>
      </c>
      <c r="X88" s="23">
        <f>[1]ישיר!D77/1000</f>
        <v>5801.6130000000003</v>
      </c>
      <c r="Y88" s="23">
        <v>4651.223</v>
      </c>
      <c r="Z88" s="23">
        <f>[1]עקיף!H77</f>
        <v>927</v>
      </c>
      <c r="AA88" s="23">
        <f>[1]עקיף!P77</f>
        <v>691</v>
      </c>
      <c r="AB88" s="23">
        <f>[1]עקיף!Q77</f>
        <v>4729</v>
      </c>
      <c r="AH88" s="3">
        <v>23379.040666000001</v>
      </c>
      <c r="AI88" s="4">
        <v>188.3</v>
      </c>
      <c r="AK88" s="61"/>
      <c r="AL88" s="74">
        <v>44.425068798825741</v>
      </c>
      <c r="AM88" s="72">
        <v>14064</v>
      </c>
      <c r="AT88" s="67"/>
      <c r="AU88" s="68"/>
      <c r="AV88" s="68"/>
      <c r="AW88" s="68"/>
    </row>
    <row r="89" spans="1:49">
      <c r="A89" s="28">
        <v>37257</v>
      </c>
      <c r="B89" s="29">
        <f t="shared" si="3"/>
        <v>1</v>
      </c>
      <c r="C89" s="29">
        <f t="shared" si="4"/>
        <v>1</v>
      </c>
      <c r="D89" s="29">
        <f t="shared" si="5"/>
        <v>2002</v>
      </c>
      <c r="E89" s="11">
        <v>72.971498939200004</v>
      </c>
      <c r="F89" s="40">
        <v>6576</v>
      </c>
      <c r="G89" s="41">
        <v>5641</v>
      </c>
      <c r="H89" s="37">
        <v>4086</v>
      </c>
      <c r="I89" s="38">
        <v>1087</v>
      </c>
      <c r="L89" s="23">
        <v>19.714761904761907</v>
      </c>
      <c r="M89" s="30">
        <v>99.29</v>
      </c>
      <c r="N89" s="30">
        <v>4.5370909090909084</v>
      </c>
      <c r="O89" s="12">
        <v>463.22347826086946</v>
      </c>
      <c r="P89" s="12">
        <v>446.65391304347821</v>
      </c>
      <c r="Q89" s="12">
        <v>1976.7685714285715</v>
      </c>
      <c r="R89" s="12">
        <v>1140.2076190476191</v>
      </c>
      <c r="S89" s="34">
        <v>0.17</v>
      </c>
      <c r="V89" s="12"/>
      <c r="X89" s="23">
        <f>[1]ישיר!D78/1000</f>
        <v>7218.1130000000003</v>
      </c>
      <c r="Y89" s="23">
        <v>5368.7960000000003</v>
      </c>
      <c r="Z89" s="23">
        <f>[1]עקיף!H78</f>
        <v>1087</v>
      </c>
      <c r="AA89" s="23">
        <f>[1]עקיף!P78</f>
        <v>661</v>
      </c>
      <c r="AB89" s="23">
        <f>[1]עקיף!Q78</f>
        <v>5834</v>
      </c>
      <c r="AH89" s="3">
        <v>23085.248479000002</v>
      </c>
      <c r="AI89" s="4">
        <v>194.1</v>
      </c>
      <c r="AK89" s="61"/>
      <c r="AL89" s="74">
        <v>44.900177606908962</v>
      </c>
      <c r="AM89" s="72">
        <v>16704</v>
      </c>
      <c r="AT89" s="67"/>
      <c r="AU89" s="68"/>
      <c r="AV89" s="68"/>
      <c r="AW89" s="68"/>
    </row>
    <row r="90" spans="1:49">
      <c r="A90" s="28">
        <v>37288</v>
      </c>
      <c r="B90" s="29">
        <f t="shared" si="3"/>
        <v>2</v>
      </c>
      <c r="C90" s="29">
        <f t="shared" si="4"/>
        <v>1</v>
      </c>
      <c r="D90" s="29">
        <f t="shared" si="5"/>
        <v>2002</v>
      </c>
      <c r="E90" s="11">
        <v>73.539923468400005</v>
      </c>
      <c r="F90" s="40">
        <v>7020</v>
      </c>
      <c r="G90" s="41">
        <v>4663</v>
      </c>
      <c r="H90" s="37">
        <v>3221</v>
      </c>
      <c r="I90" s="38">
        <v>751</v>
      </c>
      <c r="L90" s="23">
        <v>20.723684210526315</v>
      </c>
      <c r="M90" s="30">
        <v>94.66</v>
      </c>
      <c r="N90" s="30">
        <v>4.6619999999999999</v>
      </c>
      <c r="O90" s="12">
        <v>434.19105263157888</v>
      </c>
      <c r="P90" s="12">
        <v>417.21210526315792</v>
      </c>
      <c r="Q90" s="12">
        <v>1799.7189473684211</v>
      </c>
      <c r="R90" s="12">
        <v>1100.668947368421</v>
      </c>
      <c r="S90" s="34">
        <v>0.17</v>
      </c>
      <c r="V90" s="12"/>
      <c r="X90" s="23">
        <f>[1]ישיר!D79/1000</f>
        <v>7185.1040000000003</v>
      </c>
      <c r="Y90" s="23">
        <v>5060.8950000000004</v>
      </c>
      <c r="Z90" s="23">
        <f>[1]עקיף!H79</f>
        <v>751</v>
      </c>
      <c r="AA90" s="23">
        <f>[1]עקיף!P79</f>
        <v>655</v>
      </c>
      <c r="AB90" s="23">
        <f>[1]עקיף!Q79</f>
        <v>4627</v>
      </c>
      <c r="AH90" s="3">
        <v>24304.752885999998</v>
      </c>
      <c r="AI90" s="4">
        <v>196.6</v>
      </c>
      <c r="AK90" s="61"/>
      <c r="AL90" s="74">
        <v>45.074955194991375</v>
      </c>
      <c r="AM90" s="72">
        <v>16284</v>
      </c>
      <c r="AT90" s="67"/>
      <c r="AU90" s="68"/>
      <c r="AV90" s="68"/>
      <c r="AW90" s="68"/>
    </row>
    <row r="91" spans="1:49">
      <c r="A91" s="28">
        <v>37316</v>
      </c>
      <c r="B91" s="29">
        <f t="shared" si="3"/>
        <v>3</v>
      </c>
      <c r="C91" s="29">
        <f t="shared" si="4"/>
        <v>1</v>
      </c>
      <c r="D91" s="29">
        <f t="shared" si="5"/>
        <v>2002</v>
      </c>
      <c r="E91" s="11">
        <v>73.8951887992</v>
      </c>
      <c r="F91" s="40">
        <v>7143</v>
      </c>
      <c r="G91" s="41">
        <v>5111</v>
      </c>
      <c r="H91" s="37">
        <v>3715</v>
      </c>
      <c r="I91" s="38">
        <v>761</v>
      </c>
      <c r="L91" s="23">
        <v>24.530999999999999</v>
      </c>
      <c r="M91" s="30">
        <v>93.28</v>
      </c>
      <c r="N91" s="30">
        <v>4.6643888888888902</v>
      </c>
      <c r="O91" s="12">
        <v>419.94473684210527</v>
      </c>
      <c r="P91" s="12">
        <v>403.65999999999997</v>
      </c>
      <c r="Q91" s="12">
        <v>1863.0454999999997</v>
      </c>
      <c r="R91" s="12">
        <v>1153.7909999999999</v>
      </c>
      <c r="S91" s="34">
        <v>0.17</v>
      </c>
      <c r="V91" s="12"/>
      <c r="X91" s="23">
        <f>[1]ישיר!D80/1000</f>
        <v>6990.9040000000005</v>
      </c>
      <c r="Y91" s="23">
        <v>4855.1729999999998</v>
      </c>
      <c r="Z91" s="23">
        <f>[1]עקיף!H80</f>
        <v>761</v>
      </c>
      <c r="AA91" s="23">
        <f>[1]עקיף!P80</f>
        <v>662</v>
      </c>
      <c r="AB91" s="23">
        <f>[1]עקיף!Q80</f>
        <v>5138</v>
      </c>
      <c r="AH91" s="3">
        <v>24221.443143</v>
      </c>
      <c r="AI91" s="4">
        <v>197.6</v>
      </c>
      <c r="AK91" s="61"/>
      <c r="AL91" s="74">
        <v>45.082342038802473</v>
      </c>
      <c r="AM91" s="72">
        <v>15240</v>
      </c>
      <c r="AT91" s="67"/>
      <c r="AU91" s="68"/>
      <c r="AV91" s="68"/>
      <c r="AW91" s="68"/>
    </row>
    <row r="92" spans="1:49">
      <c r="A92" s="28">
        <v>37347</v>
      </c>
      <c r="B92" s="29">
        <f t="shared" si="3"/>
        <v>4</v>
      </c>
      <c r="C92" s="29">
        <f t="shared" si="4"/>
        <v>2</v>
      </c>
      <c r="D92" s="29">
        <f t="shared" si="5"/>
        <v>2002</v>
      </c>
      <c r="E92" s="11">
        <v>75.032037857600002</v>
      </c>
      <c r="F92" s="40">
        <v>6638</v>
      </c>
      <c r="G92" s="41">
        <v>4891</v>
      </c>
      <c r="H92" s="37">
        <v>3320</v>
      </c>
      <c r="I92" s="38">
        <v>938</v>
      </c>
      <c r="J92" s="13">
        <v>100</v>
      </c>
      <c r="L92" s="23">
        <v>26.179090909090917</v>
      </c>
      <c r="M92" s="30">
        <v>92.73</v>
      </c>
      <c r="N92" s="30">
        <v>4.8062105263157893</v>
      </c>
      <c r="O92" s="12">
        <v>389.52055555555552</v>
      </c>
      <c r="P92" s="12">
        <v>375.65944444444443</v>
      </c>
      <c r="Q92" s="12">
        <v>1758.802272727273</v>
      </c>
      <c r="R92" s="12">
        <v>1112.0345454545452</v>
      </c>
      <c r="S92" s="34">
        <v>0.17</v>
      </c>
      <c r="V92" s="12"/>
      <c r="X92" s="23">
        <f>[1]ישיר!D81/1000</f>
        <v>6780.1120000000001</v>
      </c>
      <c r="Y92" s="23">
        <v>4780.1970000000001</v>
      </c>
      <c r="Z92" s="23">
        <f>[1]עקיף!H81</f>
        <v>938</v>
      </c>
      <c r="AA92" s="23">
        <f>[1]עקיף!P81</f>
        <v>613</v>
      </c>
      <c r="AB92" s="23">
        <f>[1]עקיף!Q81</f>
        <v>4871</v>
      </c>
      <c r="AH92" s="3">
        <v>24345.494391</v>
      </c>
      <c r="AI92" s="4">
        <v>199.8</v>
      </c>
      <c r="AK92" s="61"/>
      <c r="AL92" s="74">
        <v>45.188910478662478</v>
      </c>
      <c r="AM92" s="72">
        <v>15996</v>
      </c>
      <c r="AT92" s="67"/>
      <c r="AU92" s="68"/>
      <c r="AV92" s="68"/>
      <c r="AW92" s="68"/>
    </row>
    <row r="93" spans="1:49">
      <c r="A93" s="28">
        <v>37377</v>
      </c>
      <c r="B93" s="29">
        <f t="shared" si="3"/>
        <v>5</v>
      </c>
      <c r="C93" s="29">
        <f t="shared" si="4"/>
        <v>2</v>
      </c>
      <c r="D93" s="29">
        <f t="shared" si="5"/>
        <v>2002</v>
      </c>
      <c r="E93" s="11">
        <v>75.742568519100004</v>
      </c>
      <c r="F93" s="40">
        <v>7127</v>
      </c>
      <c r="G93" s="41">
        <v>5079</v>
      </c>
      <c r="H93" s="37">
        <v>3643</v>
      </c>
      <c r="I93" s="38">
        <v>790</v>
      </c>
      <c r="J93" s="13">
        <v>97.8</v>
      </c>
      <c r="L93" s="23">
        <v>27.041363636363641</v>
      </c>
      <c r="M93" s="30">
        <v>90.46</v>
      </c>
      <c r="N93" s="30">
        <v>4.8940454545454548</v>
      </c>
      <c r="O93" s="12">
        <v>388.12428571428563</v>
      </c>
      <c r="P93" s="12">
        <v>375.72142857142859</v>
      </c>
      <c r="Q93" s="12">
        <v>1660.3109090909093</v>
      </c>
      <c r="R93" s="12">
        <v>1079.2672727272727</v>
      </c>
      <c r="S93" s="34">
        <v>0.17</v>
      </c>
      <c r="V93" s="12"/>
      <c r="X93" s="23">
        <f>[1]ישיר!D82/1000</f>
        <v>7070.73</v>
      </c>
      <c r="Y93" s="23">
        <v>5073.527</v>
      </c>
      <c r="Z93" s="23">
        <f>[1]עקיף!H82</f>
        <v>790</v>
      </c>
      <c r="AA93" s="23">
        <f>[1]עקיף!P82</f>
        <v>774</v>
      </c>
      <c r="AB93" s="23">
        <f>[1]עקיף!Q82</f>
        <v>5207</v>
      </c>
      <c r="AH93" s="3">
        <v>24431.452979000002</v>
      </c>
      <c r="AI93" s="4">
        <v>201.6</v>
      </c>
      <c r="AK93" s="61"/>
      <c r="AL93" s="74">
        <v>45.252521519242883</v>
      </c>
      <c r="AM93" s="72">
        <v>16128</v>
      </c>
      <c r="AT93" s="67"/>
      <c r="AU93" s="68"/>
      <c r="AV93" s="68"/>
      <c r="AW93" s="68"/>
    </row>
    <row r="94" spans="1:49">
      <c r="A94" s="28">
        <v>37408</v>
      </c>
      <c r="B94" s="29">
        <f t="shared" si="3"/>
        <v>6</v>
      </c>
      <c r="C94" s="29">
        <f t="shared" si="4"/>
        <v>2</v>
      </c>
      <c r="D94" s="29">
        <f t="shared" si="5"/>
        <v>2002</v>
      </c>
      <c r="E94" s="11">
        <v>76.737311445299994</v>
      </c>
      <c r="F94" s="40">
        <v>6286</v>
      </c>
      <c r="G94" s="41">
        <v>4795</v>
      </c>
      <c r="H94" s="37">
        <v>3215</v>
      </c>
      <c r="I94" s="38">
        <v>915</v>
      </c>
      <c r="J94" s="13">
        <v>95.6</v>
      </c>
      <c r="L94" s="23">
        <v>25.5185</v>
      </c>
      <c r="M94" s="30">
        <v>88.22</v>
      </c>
      <c r="N94" s="30">
        <v>4.939350000000001</v>
      </c>
      <c r="O94" s="12">
        <v>371.37238095238092</v>
      </c>
      <c r="P94" s="12">
        <v>361.22809523809525</v>
      </c>
      <c r="Q94" s="12">
        <v>1505.4884999999999</v>
      </c>
      <c r="R94" s="12">
        <v>1014.0479999999998</v>
      </c>
      <c r="S94" s="31">
        <v>0.18</v>
      </c>
      <c r="V94" s="12"/>
      <c r="X94" s="23">
        <f>[1]ישיר!D83/1000</f>
        <v>6161.0709999999999</v>
      </c>
      <c r="Y94" s="23">
        <v>4560.3670000000002</v>
      </c>
      <c r="Z94" s="23">
        <f>[1]עקיף!H83</f>
        <v>915</v>
      </c>
      <c r="AA94" s="23">
        <f>[1]עקיף!P83</f>
        <v>752</v>
      </c>
      <c r="AB94" s="23">
        <f>[1]עקיף!Q83</f>
        <v>4882</v>
      </c>
      <c r="AH94" s="3">
        <v>25164.185704</v>
      </c>
      <c r="AI94" s="4">
        <v>198.8</v>
      </c>
      <c r="AK94" s="61"/>
      <c r="AL94" s="74">
        <v>45.446216449907304</v>
      </c>
      <c r="AM94" s="72">
        <v>16200</v>
      </c>
      <c r="AT94" s="67"/>
      <c r="AU94" s="68"/>
      <c r="AV94" s="68"/>
      <c r="AW94" s="68"/>
    </row>
    <row r="95" spans="1:49">
      <c r="A95" s="28">
        <v>37438</v>
      </c>
      <c r="B95" s="29">
        <f t="shared" si="3"/>
        <v>7</v>
      </c>
      <c r="C95" s="29">
        <f t="shared" si="4"/>
        <v>3</v>
      </c>
      <c r="D95" s="29">
        <f t="shared" si="5"/>
        <v>2002</v>
      </c>
      <c r="E95" s="11">
        <v>77.234682908300002</v>
      </c>
      <c r="F95" s="40">
        <v>7879</v>
      </c>
      <c r="G95" s="41">
        <v>6165</v>
      </c>
      <c r="H95" s="37">
        <v>4308</v>
      </c>
      <c r="I95" s="38">
        <v>800</v>
      </c>
      <c r="J95" s="13">
        <v>94.6</v>
      </c>
      <c r="L95" s="23">
        <v>26.966190476190473</v>
      </c>
      <c r="M95" s="30">
        <v>87.19</v>
      </c>
      <c r="N95" s="30">
        <v>4.7209545454545463</v>
      </c>
      <c r="O95" s="12">
        <v>371.06409090909085</v>
      </c>
      <c r="P95" s="12">
        <v>357.89136363636356</v>
      </c>
      <c r="Q95" s="12">
        <v>1346.0854545454542</v>
      </c>
      <c r="R95" s="12">
        <v>903.58545454545447</v>
      </c>
      <c r="S95" s="34">
        <v>0.18</v>
      </c>
      <c r="V95" s="12"/>
      <c r="X95" s="23">
        <f>[1]ישיר!D84/1000</f>
        <v>7792.4070000000002</v>
      </c>
      <c r="Y95" s="23">
        <v>5849.77</v>
      </c>
      <c r="Z95" s="23">
        <f>[1]עקיף!H84</f>
        <v>800</v>
      </c>
      <c r="AA95" s="23">
        <f>[1]עקיף!P84</f>
        <v>837</v>
      </c>
      <c r="AB95" s="23">
        <f>[1]עקיף!Q84</f>
        <v>5945</v>
      </c>
      <c r="AH95" s="3">
        <v>25132.626305999998</v>
      </c>
      <c r="AI95" s="4">
        <v>196.4</v>
      </c>
      <c r="AK95" s="61"/>
      <c r="AL95" s="74">
        <v>45.642930453755007</v>
      </c>
      <c r="AM95" s="72">
        <v>16260</v>
      </c>
      <c r="AT95" s="67"/>
      <c r="AU95" s="68"/>
      <c r="AV95" s="68"/>
      <c r="AW95" s="68"/>
    </row>
    <row r="96" spans="1:49">
      <c r="A96" s="28">
        <v>37469</v>
      </c>
      <c r="B96" s="29">
        <f t="shared" si="3"/>
        <v>8</v>
      </c>
      <c r="C96" s="29">
        <f t="shared" si="4"/>
        <v>3</v>
      </c>
      <c r="D96" s="29">
        <f t="shared" si="5"/>
        <v>2002</v>
      </c>
      <c r="E96" s="11">
        <v>76.950470643700001</v>
      </c>
      <c r="F96" s="40">
        <v>5826</v>
      </c>
      <c r="G96" s="41">
        <v>5116</v>
      </c>
      <c r="H96" s="37">
        <v>3312</v>
      </c>
      <c r="I96" s="38">
        <v>847</v>
      </c>
      <c r="J96" s="13">
        <v>89.4</v>
      </c>
      <c r="L96" s="23">
        <v>28.385000000000005</v>
      </c>
      <c r="M96" s="30">
        <v>90.31</v>
      </c>
      <c r="N96" s="30">
        <v>4.6761818181818171</v>
      </c>
      <c r="O96" s="12">
        <v>370.05428571428575</v>
      </c>
      <c r="P96" s="12">
        <v>358.71238095238095</v>
      </c>
      <c r="Q96" s="12">
        <v>1327.3604545454546</v>
      </c>
      <c r="R96" s="12">
        <v>912.55227272727279</v>
      </c>
      <c r="S96" s="34">
        <v>0.18</v>
      </c>
      <c r="V96" s="12"/>
      <c r="X96" s="23">
        <f>[1]ישיר!D85/1000</f>
        <v>6231.8760000000002</v>
      </c>
      <c r="Y96" s="23">
        <v>5102.7569999999996</v>
      </c>
      <c r="Z96" s="23">
        <f>[1]עקיף!H85</f>
        <v>847</v>
      </c>
      <c r="AA96" s="23">
        <f>[1]עקיף!P85</f>
        <v>860</v>
      </c>
      <c r="AB96" s="23">
        <f>[1]עקיף!Q85</f>
        <v>5019</v>
      </c>
      <c r="AH96" s="3">
        <v>24654.931385</v>
      </c>
      <c r="AI96" s="4">
        <v>196.6</v>
      </c>
      <c r="AK96" s="61"/>
      <c r="AL96" s="74">
        <v>45.83211252794753</v>
      </c>
      <c r="AM96" s="72">
        <v>12948</v>
      </c>
      <c r="AT96" s="67"/>
      <c r="AU96" s="68"/>
      <c r="AV96" s="68"/>
      <c r="AW96" s="68"/>
    </row>
    <row r="97" spans="1:49">
      <c r="A97" s="28">
        <v>37500</v>
      </c>
      <c r="B97" s="29">
        <f t="shared" si="3"/>
        <v>9</v>
      </c>
      <c r="C97" s="29">
        <f t="shared" si="4"/>
        <v>3</v>
      </c>
      <c r="D97" s="29">
        <f t="shared" si="5"/>
        <v>2002</v>
      </c>
      <c r="E97" s="11">
        <v>77.234682908300002</v>
      </c>
      <c r="F97" s="40">
        <v>6655</v>
      </c>
      <c r="G97" s="41">
        <v>6088</v>
      </c>
      <c r="H97" s="37">
        <v>4719</v>
      </c>
      <c r="I97" s="38">
        <v>775</v>
      </c>
      <c r="J97" s="13">
        <v>99.6</v>
      </c>
      <c r="L97" s="23">
        <v>29.663499999999999</v>
      </c>
      <c r="M97" s="30">
        <v>91.37</v>
      </c>
      <c r="N97" s="30">
        <v>4.7749999999999995</v>
      </c>
      <c r="O97" s="12">
        <v>361.92578947368423</v>
      </c>
      <c r="P97" s="12">
        <v>351.96789473684208</v>
      </c>
      <c r="Q97" s="12">
        <v>1251.0690000000002</v>
      </c>
      <c r="R97" s="12">
        <v>867.81200000000013</v>
      </c>
      <c r="S97" s="34">
        <v>0.18</v>
      </c>
      <c r="V97" s="12"/>
      <c r="X97" s="23">
        <f>[1]ישיר!D86/1000</f>
        <v>6523.3990000000003</v>
      </c>
      <c r="Y97" s="23">
        <v>4670.5389999999998</v>
      </c>
      <c r="Z97" s="23">
        <f>[1]עקיף!H86</f>
        <v>775</v>
      </c>
      <c r="AA97" s="23">
        <f>[1]עקיף!P86</f>
        <v>799</v>
      </c>
      <c r="AB97" s="23">
        <f>[1]עקיף!Q86</f>
        <v>6293</v>
      </c>
      <c r="AH97" s="3">
        <v>24622.942300999999</v>
      </c>
      <c r="AI97" s="4">
        <v>196.3</v>
      </c>
      <c r="AK97" s="61"/>
      <c r="AL97" s="74">
        <v>45.913737651280414</v>
      </c>
      <c r="AM97" s="72">
        <v>14556</v>
      </c>
      <c r="AT97" s="67"/>
      <c r="AU97" s="68"/>
      <c r="AV97" s="68"/>
      <c r="AW97" s="68"/>
    </row>
    <row r="98" spans="1:49">
      <c r="A98" s="28">
        <v>37530</v>
      </c>
      <c r="B98" s="29">
        <f t="shared" si="3"/>
        <v>10</v>
      </c>
      <c r="C98" s="29">
        <f t="shared" si="4"/>
        <v>4</v>
      </c>
      <c r="D98" s="29">
        <f t="shared" si="5"/>
        <v>2002</v>
      </c>
      <c r="E98" s="11">
        <v>77.732054371399997</v>
      </c>
      <c r="F98" s="40">
        <v>6103</v>
      </c>
      <c r="G98" s="41">
        <v>5464</v>
      </c>
      <c r="H98" s="37">
        <v>3664</v>
      </c>
      <c r="I98" s="38">
        <v>868</v>
      </c>
      <c r="J98" s="13">
        <v>89.8</v>
      </c>
      <c r="L98" s="23">
        <v>28.836521739130436</v>
      </c>
      <c r="M98" s="30">
        <v>89.56</v>
      </c>
      <c r="N98" s="30">
        <v>4.7983043478260869</v>
      </c>
      <c r="O98" s="12">
        <v>336.98913043478257</v>
      </c>
      <c r="P98" s="12">
        <v>328.31521739130437</v>
      </c>
      <c r="Q98" s="12">
        <v>1241.9121739130435</v>
      </c>
      <c r="R98" s="12">
        <v>854.63130434782613</v>
      </c>
      <c r="S98" s="34">
        <v>0.18</v>
      </c>
      <c r="V98" s="12"/>
      <c r="X98" s="23">
        <f>[1]ישיר!D87/1000</f>
        <v>5228.9679999999998</v>
      </c>
      <c r="Y98" s="23">
        <v>3879.9459999999999</v>
      </c>
      <c r="Z98" s="23">
        <f>[1]עקיף!H87</f>
        <v>868</v>
      </c>
      <c r="AA98" s="23">
        <f>[1]עקיף!P87</f>
        <v>795</v>
      </c>
      <c r="AB98" s="23">
        <f>[1]עקיף!Q87</f>
        <v>5327</v>
      </c>
      <c r="AH98" s="3">
        <v>24229.400081</v>
      </c>
      <c r="AI98" s="4">
        <v>194.6</v>
      </c>
      <c r="AK98" s="61"/>
      <c r="AL98" s="74">
        <v>45.994830243021006</v>
      </c>
      <c r="AM98" s="72">
        <v>11328</v>
      </c>
      <c r="AT98" s="67"/>
      <c r="AU98" s="68"/>
      <c r="AV98" s="68"/>
      <c r="AW98" s="68"/>
    </row>
    <row r="99" spans="1:49">
      <c r="A99" s="28">
        <v>37561</v>
      </c>
      <c r="B99" s="29">
        <f t="shared" si="3"/>
        <v>11</v>
      </c>
      <c r="C99" s="29">
        <f t="shared" si="4"/>
        <v>4</v>
      </c>
      <c r="D99" s="29">
        <f t="shared" si="5"/>
        <v>2002</v>
      </c>
      <c r="E99" s="11">
        <v>77.092576776000001</v>
      </c>
      <c r="F99" s="40">
        <v>6100</v>
      </c>
      <c r="G99" s="41">
        <v>4290</v>
      </c>
      <c r="H99" s="37">
        <v>2823</v>
      </c>
      <c r="I99" s="38">
        <v>759</v>
      </c>
      <c r="J99" s="13">
        <v>91</v>
      </c>
      <c r="L99" s="23">
        <v>26.352105263157895</v>
      </c>
      <c r="M99" s="30">
        <v>89.58</v>
      </c>
      <c r="N99" s="30">
        <v>4.6866666666666665</v>
      </c>
      <c r="O99" s="12">
        <v>343.59450000000004</v>
      </c>
      <c r="P99" s="12">
        <v>337.39700000000005</v>
      </c>
      <c r="Q99" s="12">
        <v>1409.1509999999998</v>
      </c>
      <c r="R99" s="12">
        <v>909.92700000000002</v>
      </c>
      <c r="S99" s="34">
        <v>0.18</v>
      </c>
      <c r="V99" s="12"/>
      <c r="X99" s="23">
        <f>[1]ישיר!D88/1000</f>
        <v>7348.5050000000001</v>
      </c>
      <c r="Y99" s="23">
        <v>5795.576</v>
      </c>
      <c r="Z99" s="23">
        <f>[1]עקיף!H88</f>
        <v>759</v>
      </c>
      <c r="AA99" s="23">
        <f>[1]עקיף!P88</f>
        <v>771</v>
      </c>
      <c r="AB99" s="23">
        <f>[1]עקיף!Q88</f>
        <v>4353</v>
      </c>
      <c r="AH99" s="3">
        <v>23658.750152000001</v>
      </c>
      <c r="AI99" s="4">
        <v>192.7</v>
      </c>
      <c r="AK99" s="61"/>
      <c r="AL99" s="74">
        <v>46.004978266948775</v>
      </c>
      <c r="AM99" s="72">
        <v>11724</v>
      </c>
      <c r="AT99" s="67"/>
      <c r="AU99" s="68"/>
      <c r="AV99" s="68"/>
      <c r="AW99" s="68"/>
    </row>
    <row r="100" spans="1:49">
      <c r="A100" s="28">
        <v>37591</v>
      </c>
      <c r="B100" s="29">
        <f t="shared" si="3"/>
        <v>12</v>
      </c>
      <c r="C100" s="29">
        <f t="shared" si="4"/>
        <v>4</v>
      </c>
      <c r="D100" s="29">
        <f t="shared" si="5"/>
        <v>2002</v>
      </c>
      <c r="E100" s="11">
        <v>76.879417577599995</v>
      </c>
      <c r="F100" s="40">
        <v>6572.6</v>
      </c>
      <c r="G100" s="41">
        <v>5669</v>
      </c>
      <c r="H100" s="37">
        <v>3714</v>
      </c>
      <c r="I100" s="38">
        <v>980</v>
      </c>
      <c r="J100" s="13">
        <v>93</v>
      </c>
      <c r="L100" s="23">
        <v>29.460952380952378</v>
      </c>
      <c r="M100" s="30">
        <v>89.78</v>
      </c>
      <c r="N100" s="30">
        <v>4.6937142857142859</v>
      </c>
      <c r="O100" s="12">
        <v>360.10652173913041</v>
      </c>
      <c r="P100" s="12">
        <v>352.87478260869563</v>
      </c>
      <c r="Q100" s="12">
        <v>1387.1519047619045</v>
      </c>
      <c r="R100" s="12">
        <v>899.17857142857122</v>
      </c>
      <c r="S100" s="34">
        <v>0.18</v>
      </c>
      <c r="V100" s="12"/>
      <c r="X100" s="23">
        <f>[1]ישיר!D89/1000</f>
        <v>6015.3429999999998</v>
      </c>
      <c r="Y100" s="23">
        <v>4643.09</v>
      </c>
      <c r="Z100" s="23">
        <f>[1]עקיף!H89</f>
        <v>980</v>
      </c>
      <c r="AA100" s="23">
        <f>[1]עקיף!P89</f>
        <v>783</v>
      </c>
      <c r="AB100" s="23">
        <f>[1]עקיף!Q89</f>
        <v>5477</v>
      </c>
      <c r="AH100" s="3">
        <v>24082.621838999999</v>
      </c>
      <c r="AI100" s="4">
        <v>193</v>
      </c>
      <c r="AK100" s="61"/>
      <c r="AL100" s="74">
        <v>46.187133380275824</v>
      </c>
      <c r="AM100" s="72">
        <v>14280</v>
      </c>
      <c r="AT100" s="67"/>
      <c r="AU100" s="68"/>
      <c r="AV100" s="68"/>
      <c r="AW100" s="68"/>
    </row>
    <row r="101" spans="1:49">
      <c r="A101" s="28">
        <v>37622</v>
      </c>
      <c r="B101" s="29">
        <f t="shared" si="3"/>
        <v>1</v>
      </c>
      <c r="C101" s="29">
        <f t="shared" si="4"/>
        <v>1</v>
      </c>
      <c r="D101" s="29">
        <f t="shared" si="5"/>
        <v>2003</v>
      </c>
      <c r="E101" s="11">
        <v>77.022944771200002</v>
      </c>
      <c r="F101" s="40">
        <v>5672.5</v>
      </c>
      <c r="G101" s="41">
        <v>4943.3</v>
      </c>
      <c r="H101" s="37">
        <v>3765</v>
      </c>
      <c r="I101" s="38">
        <v>714</v>
      </c>
      <c r="J101" s="13">
        <v>95</v>
      </c>
      <c r="L101" s="23">
        <v>32.94714285714285</v>
      </c>
      <c r="M101" s="30">
        <v>88.63</v>
      </c>
      <c r="N101" s="30">
        <v>4.8362857142857152</v>
      </c>
      <c r="O101" s="12">
        <v>320.20666666666665</v>
      </c>
      <c r="P101" s="12">
        <v>324.12476190476195</v>
      </c>
      <c r="Q101" s="12">
        <v>1389.5595238095236</v>
      </c>
      <c r="R101" s="12">
        <v>895.8361904761905</v>
      </c>
      <c r="S101" s="34">
        <v>0.18</v>
      </c>
      <c r="V101" s="12"/>
      <c r="X101" s="23">
        <f>[1]ישיר!D90/1000</f>
        <v>6326.8729999999996</v>
      </c>
      <c r="Y101" s="23">
        <v>5134.7209999999995</v>
      </c>
      <c r="Z101" s="23">
        <f>[1]עקיף!H90</f>
        <v>714</v>
      </c>
      <c r="AA101" s="23">
        <f>[1]עקיף!P90</f>
        <v>818</v>
      </c>
      <c r="AB101" s="23">
        <f>[1]עקיף!Q90</f>
        <v>5297</v>
      </c>
      <c r="AH101" s="3">
        <v>23852.217235</v>
      </c>
      <c r="AI101" s="4">
        <v>193.6</v>
      </c>
      <c r="AK101" s="61"/>
      <c r="AL101" s="74">
        <v>46.25361218029952</v>
      </c>
      <c r="AM101" s="72">
        <v>10956</v>
      </c>
      <c r="AT101" s="67"/>
      <c r="AU101" s="68"/>
      <c r="AV101" s="68"/>
      <c r="AW101" s="68"/>
    </row>
    <row r="102" spans="1:49">
      <c r="A102" s="28">
        <v>37653</v>
      </c>
      <c r="B102" s="29">
        <f t="shared" si="3"/>
        <v>2</v>
      </c>
      <c r="C102" s="29">
        <f t="shared" si="4"/>
        <v>1</v>
      </c>
      <c r="D102" s="29">
        <f t="shared" si="5"/>
        <v>2003</v>
      </c>
      <c r="E102" s="11">
        <v>77.326483469799996</v>
      </c>
      <c r="F102" s="14">
        <v>6436.1</v>
      </c>
      <c r="G102" s="15">
        <v>4802.7</v>
      </c>
      <c r="H102" s="37">
        <v>3248</v>
      </c>
      <c r="I102" s="38">
        <v>721</v>
      </c>
      <c r="J102" s="13">
        <v>97</v>
      </c>
      <c r="L102" s="23">
        <v>35.828421052631583</v>
      </c>
      <c r="M102" s="30">
        <v>84.28</v>
      </c>
      <c r="N102" s="30">
        <v>4.8658999999999999</v>
      </c>
      <c r="O102" s="12">
        <v>305.19449999999995</v>
      </c>
      <c r="P102" s="12">
        <v>312.90849999999995</v>
      </c>
      <c r="Q102" s="12">
        <v>1313.2615789473684</v>
      </c>
      <c r="R102" s="12">
        <v>837.61894736842112</v>
      </c>
      <c r="S102" s="34">
        <v>0.18</v>
      </c>
      <c r="V102" s="12"/>
      <c r="X102" s="23">
        <f>[1]ישיר!D91/1000</f>
        <v>6344.5469999999996</v>
      </c>
      <c r="Y102" s="23">
        <v>4713.4660000000003</v>
      </c>
      <c r="Z102" s="23">
        <f>[1]עקיף!H91</f>
        <v>721</v>
      </c>
      <c r="AA102" s="23">
        <f>[1]עקיף!P91</f>
        <v>742</v>
      </c>
      <c r="AB102" s="23">
        <f>[1]עקיף!Q91</f>
        <v>4711</v>
      </c>
      <c r="AH102" s="3">
        <v>23481.689058</v>
      </c>
      <c r="AI102" s="4">
        <v>192.7</v>
      </c>
      <c r="AK102" s="61"/>
      <c r="AL102" s="74">
        <v>46.277861568264051</v>
      </c>
      <c r="AM102" s="72">
        <v>12000</v>
      </c>
      <c r="AT102" s="67"/>
      <c r="AU102" s="68"/>
      <c r="AV102" s="68"/>
      <c r="AW102" s="68"/>
    </row>
    <row r="103" spans="1:49">
      <c r="A103" s="28">
        <v>37681</v>
      </c>
      <c r="B103" s="29">
        <f t="shared" si="3"/>
        <v>3</v>
      </c>
      <c r="C103" s="29">
        <f t="shared" si="4"/>
        <v>1</v>
      </c>
      <c r="D103" s="29">
        <f t="shared" si="5"/>
        <v>2003</v>
      </c>
      <c r="E103" s="11">
        <v>77.478252819100007</v>
      </c>
      <c r="F103" s="14">
        <v>6571.6</v>
      </c>
      <c r="G103" s="15">
        <v>5762.7</v>
      </c>
      <c r="H103" s="37">
        <v>4242</v>
      </c>
      <c r="I103" s="38">
        <v>834</v>
      </c>
      <c r="J103" s="13">
        <v>102.2</v>
      </c>
      <c r="L103" s="23">
        <v>33.513333333333335</v>
      </c>
      <c r="M103" s="30">
        <v>83.31</v>
      </c>
      <c r="N103" s="30">
        <v>4.7809473684210522</v>
      </c>
      <c r="O103" s="12">
        <v>330.97761904761904</v>
      </c>
      <c r="P103" s="12">
        <v>335.58428571428567</v>
      </c>
      <c r="Q103" s="12">
        <v>1348.5038095238092</v>
      </c>
      <c r="R103" s="12">
        <v>846.62142857142874</v>
      </c>
      <c r="S103" s="34">
        <v>0.18</v>
      </c>
      <c r="V103" s="12"/>
      <c r="X103" s="23">
        <f>[1]ישיר!D92/1000</f>
        <v>6709.1480000000001</v>
      </c>
      <c r="Y103" s="23">
        <v>4901.42</v>
      </c>
      <c r="Z103" s="23">
        <f>[1]עקיף!H92</f>
        <v>834</v>
      </c>
      <c r="AA103" s="23">
        <f>[1]עקיף!P92</f>
        <v>767</v>
      </c>
      <c r="AB103" s="23">
        <f>[1]עקיף!Q92</f>
        <v>5843</v>
      </c>
      <c r="AH103" s="3">
        <v>23937.147679999998</v>
      </c>
      <c r="AI103" s="4">
        <v>188.2</v>
      </c>
      <c r="AK103" s="61"/>
      <c r="AL103" s="74">
        <v>46.231323759319572</v>
      </c>
      <c r="AM103" s="72">
        <v>10776</v>
      </c>
      <c r="AT103" s="67"/>
      <c r="AU103" s="68"/>
      <c r="AV103" s="68"/>
      <c r="AW103" s="68"/>
    </row>
    <row r="104" spans="1:49">
      <c r="A104" s="28">
        <v>37712</v>
      </c>
      <c r="B104" s="29">
        <f t="shared" si="3"/>
        <v>4</v>
      </c>
      <c r="C104" s="29">
        <f t="shared" si="4"/>
        <v>2</v>
      </c>
      <c r="D104" s="29">
        <f t="shared" si="5"/>
        <v>2003</v>
      </c>
      <c r="E104" s="11">
        <v>77.326483469799996</v>
      </c>
      <c r="F104" s="14">
        <v>6233.8</v>
      </c>
      <c r="G104" s="15">
        <v>4294.3999999999996</v>
      </c>
      <c r="H104" s="37">
        <v>2952</v>
      </c>
      <c r="I104" s="38">
        <v>720</v>
      </c>
      <c r="J104" s="13">
        <v>95.9</v>
      </c>
      <c r="L104" s="23">
        <v>28.170476190476197</v>
      </c>
      <c r="M104" s="30">
        <v>84.56</v>
      </c>
      <c r="N104" s="30">
        <v>4.6185</v>
      </c>
      <c r="O104" s="12">
        <v>368.06823529411764</v>
      </c>
      <c r="P104" s="12">
        <v>376.06058823529418</v>
      </c>
      <c r="Q104" s="12">
        <v>1409.8309523809526</v>
      </c>
      <c r="R104" s="12">
        <v>890.02571428571412</v>
      </c>
      <c r="S104" s="34">
        <v>0.18</v>
      </c>
      <c r="V104" s="12"/>
      <c r="X104" s="23">
        <f>[1]ישיר!D93/1000</f>
        <v>6001.46</v>
      </c>
      <c r="Y104" s="23">
        <v>4465.7169999999996</v>
      </c>
      <c r="Z104" s="23">
        <f>[1]עקיף!H93</f>
        <v>720</v>
      </c>
      <c r="AA104" s="23">
        <f>[1]עקיף!P93</f>
        <v>700</v>
      </c>
      <c r="AB104" s="23">
        <f>[1]עקיף!Q93</f>
        <v>4372</v>
      </c>
      <c r="AH104" s="3">
        <v>23767.018225</v>
      </c>
      <c r="AI104" s="4">
        <v>184.8</v>
      </c>
      <c r="AK104" s="61"/>
      <c r="AL104" s="74">
        <v>46.268916368192833</v>
      </c>
      <c r="AM104" s="72">
        <v>11532</v>
      </c>
      <c r="AT104" s="67"/>
      <c r="AU104" s="68"/>
      <c r="AV104" s="68"/>
      <c r="AW104" s="68"/>
    </row>
    <row r="105" spans="1:49">
      <c r="A105" s="28">
        <v>37742</v>
      </c>
      <c r="B105" s="29">
        <f t="shared" si="3"/>
        <v>5</v>
      </c>
      <c r="C105" s="29">
        <f t="shared" si="4"/>
        <v>2</v>
      </c>
      <c r="D105" s="29">
        <f t="shared" si="5"/>
        <v>2003</v>
      </c>
      <c r="E105" s="11">
        <v>76.947060096599998</v>
      </c>
      <c r="F105" s="14">
        <v>6340.9</v>
      </c>
      <c r="G105" s="15">
        <v>5494.4</v>
      </c>
      <c r="H105" s="37">
        <v>3759</v>
      </c>
      <c r="I105" s="38">
        <v>777</v>
      </c>
      <c r="J105" s="13">
        <v>98.1</v>
      </c>
      <c r="L105" s="23">
        <v>28.108571428571423</v>
      </c>
      <c r="M105" s="30">
        <v>87.12</v>
      </c>
      <c r="N105" s="30">
        <v>4.4778823529411769</v>
      </c>
      <c r="O105" s="12">
        <v>403.91176470588232</v>
      </c>
      <c r="P105" s="12">
        <v>411.61</v>
      </c>
      <c r="Q105" s="12">
        <v>1524.1828571428571</v>
      </c>
      <c r="R105" s="12">
        <v>935.96285714285716</v>
      </c>
      <c r="S105" s="34">
        <v>0.18</v>
      </c>
      <c r="V105" s="12"/>
      <c r="X105" s="23">
        <f>[1]ישיר!D94/1000</f>
        <v>6573.4740000000002</v>
      </c>
      <c r="Y105" s="23">
        <v>4792.1980000000003</v>
      </c>
      <c r="Z105" s="23">
        <f>[1]עקיף!H94</f>
        <v>777</v>
      </c>
      <c r="AA105" s="23">
        <f>[1]עקיף!P94</f>
        <v>799</v>
      </c>
      <c r="AB105" s="23">
        <f>[1]עקיף!Q94</f>
        <v>5335</v>
      </c>
      <c r="AH105" s="3">
        <v>23840.916722000002</v>
      </c>
      <c r="AI105" s="4">
        <v>183.8</v>
      </c>
      <c r="AK105" s="61"/>
      <c r="AL105" s="74">
        <v>46.330303111915619</v>
      </c>
      <c r="AM105" s="72">
        <v>10704</v>
      </c>
      <c r="AT105" s="67"/>
      <c r="AU105" s="68"/>
      <c r="AV105" s="68"/>
      <c r="AW105" s="68"/>
    </row>
    <row r="106" spans="1:49">
      <c r="A106" s="28">
        <v>37773</v>
      </c>
      <c r="B106" s="29">
        <f t="shared" si="3"/>
        <v>6</v>
      </c>
      <c r="C106" s="29">
        <f t="shared" si="4"/>
        <v>2</v>
      </c>
      <c r="D106" s="29">
        <f t="shared" si="5"/>
        <v>2003</v>
      </c>
      <c r="E106" s="11">
        <v>76.491752048699993</v>
      </c>
      <c r="F106" s="14">
        <v>5994.1</v>
      </c>
      <c r="G106" s="15">
        <v>4789.6000000000004</v>
      </c>
      <c r="H106" s="37">
        <v>3237</v>
      </c>
      <c r="I106" s="38">
        <v>846</v>
      </c>
      <c r="J106" s="13">
        <v>109.2</v>
      </c>
      <c r="L106" s="23">
        <v>30.662380952380946</v>
      </c>
      <c r="M106" s="30">
        <v>86.62</v>
      </c>
      <c r="N106" s="30">
        <v>4.3779999999999992</v>
      </c>
      <c r="O106" s="12">
        <v>428.02380952380963</v>
      </c>
      <c r="P106" s="12">
        <v>438.2657142857143</v>
      </c>
      <c r="Q106" s="12">
        <v>1631.7509523809522</v>
      </c>
      <c r="R106" s="12">
        <v>987.99523809523816</v>
      </c>
      <c r="S106" s="34">
        <v>0.18</v>
      </c>
      <c r="V106" s="12"/>
      <c r="X106" s="23">
        <f>[1]ישיר!D95/1000</f>
        <v>5976.2979999999998</v>
      </c>
      <c r="Y106" s="23">
        <v>4253.1390000000001</v>
      </c>
      <c r="Z106" s="23">
        <f>[1]עקיף!H95</f>
        <v>846</v>
      </c>
      <c r="AA106" s="23">
        <f>[1]עקיף!P95</f>
        <v>819</v>
      </c>
      <c r="AB106" s="23">
        <f>[1]עקיף!Q95</f>
        <v>4902</v>
      </c>
      <c r="AH106" s="3">
        <v>24564.680941999999</v>
      </c>
      <c r="AI106" s="4">
        <v>181.8</v>
      </c>
      <c r="AK106" s="61"/>
      <c r="AL106" s="74">
        <v>46.633849262095666</v>
      </c>
      <c r="AM106" s="72">
        <v>10068</v>
      </c>
      <c r="AT106" s="67"/>
      <c r="AU106" s="68"/>
      <c r="AV106" s="68"/>
      <c r="AW106" s="68"/>
    </row>
    <row r="107" spans="1:49">
      <c r="A107" s="28">
        <v>37803</v>
      </c>
      <c r="B107" s="29">
        <f t="shared" si="3"/>
        <v>7</v>
      </c>
      <c r="C107" s="29">
        <f t="shared" si="4"/>
        <v>3</v>
      </c>
      <c r="D107" s="29">
        <f t="shared" si="5"/>
        <v>2003</v>
      </c>
      <c r="E107" s="11">
        <v>75.960559326099997</v>
      </c>
      <c r="F107" s="14">
        <v>7162.7</v>
      </c>
      <c r="G107" s="15">
        <v>5896.3</v>
      </c>
      <c r="H107" s="37">
        <v>4042</v>
      </c>
      <c r="I107" s="38">
        <v>929</v>
      </c>
      <c r="J107" s="13">
        <v>109.5</v>
      </c>
      <c r="L107" s="23">
        <v>30.754545454545454</v>
      </c>
      <c r="M107" s="30">
        <v>87.56</v>
      </c>
      <c r="N107" s="30">
        <v>4.3709565217391306</v>
      </c>
      <c r="O107" s="12">
        <v>423.62826086956517</v>
      </c>
      <c r="P107" s="12">
        <v>439.0282608695652</v>
      </c>
      <c r="Q107" s="12">
        <v>1716.8513636363639</v>
      </c>
      <c r="R107" s="12">
        <v>992.54090909090917</v>
      </c>
      <c r="S107" s="34">
        <v>0.18</v>
      </c>
      <c r="V107" s="12"/>
      <c r="X107" s="23">
        <f>[1]ישיר!D96/1000</f>
        <v>7202.4219999999996</v>
      </c>
      <c r="Y107" s="23">
        <v>5049.2520000000004</v>
      </c>
      <c r="Z107" s="23">
        <f>[1]עקיף!H96</f>
        <v>929</v>
      </c>
      <c r="AA107" s="23">
        <f>[1]עקיף!P96</f>
        <v>856</v>
      </c>
      <c r="AB107" s="23">
        <f>[1]עקיף!Q96</f>
        <v>5827</v>
      </c>
      <c r="AH107" s="3">
        <v>24429.567292</v>
      </c>
      <c r="AI107" s="4">
        <v>183.4</v>
      </c>
      <c r="AK107" s="61"/>
      <c r="AL107" s="74">
        <v>46.995076550949562</v>
      </c>
      <c r="AM107" s="72">
        <v>12576</v>
      </c>
      <c r="AT107" s="67"/>
      <c r="AU107" s="68"/>
      <c r="AV107" s="68"/>
      <c r="AW107" s="68"/>
    </row>
    <row r="108" spans="1:49">
      <c r="A108" s="28">
        <v>37834</v>
      </c>
      <c r="B108" s="29">
        <f t="shared" si="3"/>
        <v>8</v>
      </c>
      <c r="C108" s="29">
        <f t="shared" si="4"/>
        <v>3</v>
      </c>
      <c r="D108" s="29">
        <f t="shared" si="5"/>
        <v>2003</v>
      </c>
      <c r="E108" s="11">
        <v>76.112328675399993</v>
      </c>
      <c r="F108" s="14">
        <v>6319.1</v>
      </c>
      <c r="G108" s="15">
        <v>5120.6000000000004</v>
      </c>
      <c r="H108" s="37">
        <v>3383</v>
      </c>
      <c r="I108" s="38">
        <v>861</v>
      </c>
      <c r="J108" s="13">
        <v>108.3</v>
      </c>
      <c r="L108" s="23">
        <v>31.573809523809516</v>
      </c>
      <c r="M108" s="30">
        <v>88.11</v>
      </c>
      <c r="N108" s="30">
        <v>4.4521999999999995</v>
      </c>
      <c r="O108" s="12">
        <v>394.25850000000003</v>
      </c>
      <c r="P108" s="12">
        <v>411.53750000000002</v>
      </c>
      <c r="Q108" s="12">
        <v>1724.8228571428572</v>
      </c>
      <c r="R108" s="12">
        <v>989.53190476190468</v>
      </c>
      <c r="S108" s="34">
        <v>0.18</v>
      </c>
      <c r="V108" s="12"/>
      <c r="X108" s="23">
        <f>[1]ישיר!D97/1000</f>
        <v>6322.3720000000003</v>
      </c>
      <c r="Y108" s="23">
        <v>4326.7730000000001</v>
      </c>
      <c r="Z108" s="23">
        <f>[1]עקיף!H97</f>
        <v>861</v>
      </c>
      <c r="AA108" s="23">
        <f>[1]עקיף!P97</f>
        <v>837</v>
      </c>
      <c r="AB108" s="23">
        <f>[1]עקיף!Q97</f>
        <v>5081</v>
      </c>
      <c r="AH108" s="3">
        <v>23968.199333</v>
      </c>
      <c r="AI108" s="4">
        <v>185.9</v>
      </c>
      <c r="AK108" s="61"/>
      <c r="AL108" s="74">
        <v>47.128273580378846</v>
      </c>
      <c r="AM108" s="72">
        <v>11808</v>
      </c>
      <c r="AT108" s="67"/>
      <c r="AU108" s="68"/>
      <c r="AV108" s="68"/>
      <c r="AW108" s="68"/>
    </row>
    <row r="109" spans="1:49">
      <c r="A109" s="28">
        <v>37865</v>
      </c>
      <c r="B109" s="29">
        <f t="shared" si="3"/>
        <v>9</v>
      </c>
      <c r="C109" s="29">
        <f t="shared" si="4"/>
        <v>3</v>
      </c>
      <c r="D109" s="29">
        <f t="shared" si="5"/>
        <v>2003</v>
      </c>
      <c r="E109" s="11">
        <v>75.732905302099994</v>
      </c>
      <c r="F109" s="14">
        <v>6488</v>
      </c>
      <c r="G109" s="15">
        <v>5994</v>
      </c>
      <c r="H109" s="37">
        <v>4255</v>
      </c>
      <c r="I109" s="38">
        <v>950</v>
      </c>
      <c r="J109" s="13">
        <v>103.2</v>
      </c>
      <c r="L109" s="23">
        <v>28.311428571428575</v>
      </c>
      <c r="M109" s="30">
        <v>87.27</v>
      </c>
      <c r="N109" s="30">
        <v>4.4648571428571424</v>
      </c>
      <c r="O109" s="12">
        <v>404.86476190476191</v>
      </c>
      <c r="P109" s="12">
        <v>424.07666666666671</v>
      </c>
      <c r="Q109" s="12">
        <v>1856.2247619047619</v>
      </c>
      <c r="R109" s="12">
        <v>1019.4419047619049</v>
      </c>
      <c r="S109" s="34">
        <v>0.18</v>
      </c>
      <c r="V109" s="12"/>
      <c r="X109" s="23">
        <f>[1]ישיר!D98/1000</f>
        <v>6541.7460000000001</v>
      </c>
      <c r="Y109" s="23">
        <v>4710.9260000000004</v>
      </c>
      <c r="Z109" s="23">
        <f>[1]עקיף!H98</f>
        <v>950</v>
      </c>
      <c r="AA109" s="23">
        <f>[1]עקיף!P98</f>
        <v>801</v>
      </c>
      <c r="AB109" s="23">
        <f>[1]עקיף!Q98</f>
        <v>6006</v>
      </c>
      <c r="AH109" s="3">
        <v>25287.113337999999</v>
      </c>
      <c r="AI109" s="4">
        <v>183.7</v>
      </c>
      <c r="AK109" s="61"/>
      <c r="AL109" s="74">
        <v>47.272135380799142</v>
      </c>
      <c r="AM109" s="72">
        <v>12348</v>
      </c>
      <c r="AT109" s="67"/>
      <c r="AU109" s="68"/>
      <c r="AV109" s="68"/>
      <c r="AW109" s="68"/>
    </row>
    <row r="110" spans="1:49">
      <c r="A110" s="28">
        <v>37895</v>
      </c>
      <c r="B110" s="29">
        <f t="shared" si="3"/>
        <v>10</v>
      </c>
      <c r="C110" s="29">
        <f t="shared" si="4"/>
        <v>4</v>
      </c>
      <c r="D110" s="29">
        <f t="shared" si="5"/>
        <v>2003</v>
      </c>
      <c r="E110" s="11">
        <v>75.732905302099994</v>
      </c>
      <c r="F110" s="14">
        <v>6332.6</v>
      </c>
      <c r="G110" s="15">
        <v>5783.9</v>
      </c>
      <c r="H110" s="37">
        <v>3810</v>
      </c>
      <c r="I110" s="38">
        <v>935</v>
      </c>
      <c r="J110" s="13">
        <v>106.2</v>
      </c>
      <c r="L110" s="23">
        <v>30.338260869565222</v>
      </c>
      <c r="M110" s="30">
        <v>85.71</v>
      </c>
      <c r="N110" s="30">
        <v>4.4480000000000013</v>
      </c>
      <c r="O110" s="12">
        <v>431.91850000000005</v>
      </c>
      <c r="P110" s="12">
        <v>452.93950000000007</v>
      </c>
      <c r="Q110" s="12">
        <v>1907.891304347826</v>
      </c>
      <c r="R110" s="12">
        <v>1038.7343478260868</v>
      </c>
      <c r="S110" s="34">
        <v>0.18</v>
      </c>
      <c r="V110" s="12"/>
      <c r="X110" s="23">
        <f>[1]ישיר!D99/1000</f>
        <v>6265.94</v>
      </c>
      <c r="Y110" s="23">
        <v>4455.0209999999997</v>
      </c>
      <c r="Z110" s="23">
        <f>[1]עקיף!H99</f>
        <v>935</v>
      </c>
      <c r="AA110" s="23">
        <f>[1]עקיף!P99</f>
        <v>769</v>
      </c>
      <c r="AB110" s="23">
        <f>[1]עקיף!Q99</f>
        <v>5514</v>
      </c>
      <c r="AH110" s="3">
        <v>24949.926571</v>
      </c>
      <c r="AI110" s="4">
        <v>182.8</v>
      </c>
      <c r="AK110" s="61"/>
      <c r="AL110" s="74">
        <v>47.434827957846636</v>
      </c>
      <c r="AM110" s="72">
        <v>13272</v>
      </c>
      <c r="AT110" s="67"/>
      <c r="AU110" s="68"/>
      <c r="AV110" s="68"/>
      <c r="AW110" s="68"/>
    </row>
    <row r="111" spans="1:49">
      <c r="A111" s="28">
        <v>37926</v>
      </c>
      <c r="B111" s="29">
        <f t="shared" si="3"/>
        <v>11</v>
      </c>
      <c r="C111" s="29">
        <f t="shared" si="4"/>
        <v>4</v>
      </c>
      <c r="D111" s="29">
        <f t="shared" si="5"/>
        <v>2003</v>
      </c>
      <c r="E111" s="11">
        <v>75.581135952799997</v>
      </c>
      <c r="F111" s="14">
        <v>6226.8</v>
      </c>
      <c r="G111" s="15">
        <v>5802.7</v>
      </c>
      <c r="H111" s="37">
        <v>4272</v>
      </c>
      <c r="I111" s="38">
        <v>849</v>
      </c>
      <c r="J111" s="13">
        <v>101.8</v>
      </c>
      <c r="L111" s="23">
        <v>31.108333333333334</v>
      </c>
      <c r="M111" s="30">
        <v>84.14</v>
      </c>
      <c r="N111" s="30">
        <v>4.4936499999999997</v>
      </c>
      <c r="O111" s="12">
        <v>468.57000000000005</v>
      </c>
      <c r="P111" s="12">
        <v>497.10904761904766</v>
      </c>
      <c r="Q111" s="12">
        <v>1939.2536842105262</v>
      </c>
      <c r="R111" s="12">
        <v>1049.8989473684212</v>
      </c>
      <c r="S111" s="34">
        <v>0.18</v>
      </c>
      <c r="V111" s="12"/>
      <c r="X111" s="23">
        <f>[1]ישיר!D100/1000</f>
        <v>6387.1610000000001</v>
      </c>
      <c r="Y111" s="23">
        <v>4614.8100000000004</v>
      </c>
      <c r="Z111" s="23">
        <f>[1]עקיף!H100</f>
        <v>849</v>
      </c>
      <c r="AA111" s="23">
        <f>[1]עקיף!P100</f>
        <v>752</v>
      </c>
      <c r="AB111" s="23">
        <f>[1]עקיף!Q100</f>
        <v>5873</v>
      </c>
      <c r="AH111" s="3">
        <v>24975.841667000001</v>
      </c>
      <c r="AI111" s="4">
        <v>182.6</v>
      </c>
      <c r="AK111" s="61"/>
      <c r="AL111" s="74">
        <v>47.452117332426894</v>
      </c>
      <c r="AM111" s="72">
        <v>12960</v>
      </c>
      <c r="AT111" s="67"/>
      <c r="AU111" s="68"/>
      <c r="AV111" s="68"/>
      <c r="AW111" s="68"/>
    </row>
    <row r="112" spans="1:49" ht="16.5" thickBot="1">
      <c r="A112" s="28">
        <v>37956</v>
      </c>
      <c r="B112" s="29">
        <f t="shared" si="3"/>
        <v>12</v>
      </c>
      <c r="C112" s="29">
        <f t="shared" si="4"/>
        <v>4</v>
      </c>
      <c r="D112" s="29">
        <f t="shared" si="5"/>
        <v>2003</v>
      </c>
      <c r="E112" s="11">
        <v>75.4293666035</v>
      </c>
      <c r="F112" s="14">
        <v>6415</v>
      </c>
      <c r="G112" s="15">
        <v>4943.2</v>
      </c>
      <c r="H112" s="37">
        <v>3021</v>
      </c>
      <c r="I112" s="38">
        <v>1054</v>
      </c>
      <c r="J112" s="13">
        <v>102.9</v>
      </c>
      <c r="L112" s="23">
        <v>32.129047619047618</v>
      </c>
      <c r="M112" s="30">
        <v>83.22</v>
      </c>
      <c r="N112" s="30">
        <v>4.3928095238095235</v>
      </c>
      <c r="O112" s="12">
        <v>485.13782608695647</v>
      </c>
      <c r="P112" s="12">
        <v>513.22956521739138</v>
      </c>
      <c r="Q112" s="12">
        <v>1956.9845454545457</v>
      </c>
      <c r="R112" s="12">
        <v>1080.6359090909091</v>
      </c>
      <c r="S112" s="34">
        <v>0.18</v>
      </c>
      <c r="V112" s="12"/>
      <c r="X112" s="23">
        <f>[1]ישיר!D101/1000</f>
        <v>5543.1149999999998</v>
      </c>
      <c r="Y112" s="23">
        <v>4411.33</v>
      </c>
      <c r="Z112" s="23">
        <f>[1]עקיף!H101</f>
        <v>1054</v>
      </c>
      <c r="AA112" s="23">
        <f>[1]עקיף!P101</f>
        <v>792</v>
      </c>
      <c r="AB112" s="23">
        <f>[1]עקיף!Q101</f>
        <v>4867</v>
      </c>
      <c r="AH112" s="3">
        <v>26314.302553000001</v>
      </c>
      <c r="AI112" s="4">
        <v>181.2</v>
      </c>
      <c r="AK112" s="61"/>
      <c r="AL112" s="74">
        <v>47.655207788147941</v>
      </c>
      <c r="AM112" s="72">
        <v>12792</v>
      </c>
      <c r="AT112" s="67"/>
      <c r="AU112" s="68"/>
      <c r="AV112" s="68"/>
      <c r="AW112" s="68"/>
    </row>
    <row r="113" spans="1:49" ht="16.5" thickBot="1">
      <c r="A113" s="28">
        <v>37987</v>
      </c>
      <c r="B113" s="29">
        <f t="shared" si="3"/>
        <v>1</v>
      </c>
      <c r="C113" s="29">
        <f t="shared" si="4"/>
        <v>1</v>
      </c>
      <c r="D113" s="29">
        <f t="shared" si="5"/>
        <v>2004</v>
      </c>
      <c r="E113" s="11">
        <v>75.277597254200003</v>
      </c>
      <c r="F113" s="26">
        <v>6405.5</v>
      </c>
      <c r="G113" s="26">
        <v>5704.8</v>
      </c>
      <c r="H113" s="37">
        <v>4108</v>
      </c>
      <c r="I113" s="38">
        <v>960</v>
      </c>
      <c r="J113" s="13">
        <v>103.2</v>
      </c>
      <c r="K113" s="42">
        <v>111.9</v>
      </c>
      <c r="L113" s="23">
        <v>34.31</v>
      </c>
      <c r="M113" s="30">
        <v>82.91</v>
      </c>
      <c r="N113" s="30">
        <v>4.4235238095238101</v>
      </c>
      <c r="O113" s="12">
        <v>517.27600000000007</v>
      </c>
      <c r="P113" s="12">
        <v>562.37800000000004</v>
      </c>
      <c r="Q113" s="12">
        <v>2098.0040000000004</v>
      </c>
      <c r="R113" s="12">
        <v>1132.5174999999999</v>
      </c>
      <c r="S113" s="34">
        <v>0.18</v>
      </c>
      <c r="T113" s="42">
        <v>72.400000000000006</v>
      </c>
      <c r="U113" s="42">
        <v>74.8</v>
      </c>
      <c r="V113" s="42">
        <v>61.3</v>
      </c>
      <c r="W113" s="42">
        <v>72.5</v>
      </c>
      <c r="X113" s="23">
        <f>[1]ישיר!D102/1000</f>
        <v>6920.4340000000002</v>
      </c>
      <c r="Y113" s="23">
        <v>5239.6210000000001</v>
      </c>
      <c r="Z113" s="23">
        <f>[1]עקיף!H102</f>
        <v>960</v>
      </c>
      <c r="AA113" s="23">
        <f>[1]עקיף!P102</f>
        <v>821</v>
      </c>
      <c r="AB113" s="23">
        <f>[1]עקיף!Q102</f>
        <v>5889</v>
      </c>
      <c r="AH113" s="3">
        <v>26033.669011000002</v>
      </c>
      <c r="AI113" s="4">
        <v>182</v>
      </c>
      <c r="AJ113" s="68">
        <v>111.9</v>
      </c>
      <c r="AK113" s="68">
        <v>74.3</v>
      </c>
      <c r="AL113" s="74">
        <v>47.53409835565143</v>
      </c>
      <c r="AM113" s="72">
        <v>22872</v>
      </c>
      <c r="AT113" s="67"/>
      <c r="AU113" s="68"/>
      <c r="AV113" s="68"/>
      <c r="AW113" s="68"/>
    </row>
    <row r="114" spans="1:49" ht="16.5" thickBot="1">
      <c r="A114" s="28">
        <v>38018</v>
      </c>
      <c r="B114" s="29">
        <f t="shared" si="3"/>
        <v>2</v>
      </c>
      <c r="C114" s="29">
        <f t="shared" si="4"/>
        <v>1</v>
      </c>
      <c r="D114" s="29">
        <f t="shared" si="5"/>
        <v>2004</v>
      </c>
      <c r="E114" s="11">
        <v>75.4293666035</v>
      </c>
      <c r="F114" s="26">
        <v>7229</v>
      </c>
      <c r="G114" s="26">
        <v>4950.3</v>
      </c>
      <c r="H114" s="37">
        <v>3607</v>
      </c>
      <c r="I114" s="38">
        <v>878</v>
      </c>
      <c r="J114" s="13">
        <v>107.2</v>
      </c>
      <c r="K114" s="42">
        <v>111.9</v>
      </c>
      <c r="L114" s="23">
        <v>34.684736842105259</v>
      </c>
      <c r="M114" s="30">
        <v>80.680000000000007</v>
      </c>
      <c r="N114" s="30">
        <v>4.4637499999999992</v>
      </c>
      <c r="O114" s="12">
        <v>522.07952380952383</v>
      </c>
      <c r="P114" s="12">
        <v>564.74095238095242</v>
      </c>
      <c r="Q114" s="12">
        <v>2048.36</v>
      </c>
      <c r="R114" s="12">
        <v>1143.3563157894735</v>
      </c>
      <c r="S114" s="34">
        <v>0.18</v>
      </c>
      <c r="T114" s="42">
        <v>73.8</v>
      </c>
      <c r="U114" s="42">
        <v>74.400000000000006</v>
      </c>
      <c r="V114" s="42">
        <v>59.6</v>
      </c>
      <c r="W114" s="42">
        <v>71.7</v>
      </c>
      <c r="X114" s="23">
        <f>[1]ישיר!D103/1000</f>
        <v>7528.9229999999998</v>
      </c>
      <c r="Y114" s="23">
        <v>5306.1710000000003</v>
      </c>
      <c r="Z114" s="23">
        <f>[1]עקיף!H103</f>
        <v>878</v>
      </c>
      <c r="AA114" s="23">
        <f>[1]עקיף!P103</f>
        <v>811</v>
      </c>
      <c r="AB114" s="23">
        <f>[1]עקיף!Q103</f>
        <v>5296</v>
      </c>
      <c r="AH114" s="3">
        <v>26285.861858</v>
      </c>
      <c r="AI114" s="4">
        <v>183.7</v>
      </c>
      <c r="AJ114" s="68">
        <v>111.9</v>
      </c>
      <c r="AK114" s="68">
        <v>73.400000000000006</v>
      </c>
      <c r="AL114" s="74">
        <v>47.510651258964984</v>
      </c>
      <c r="AM114" s="72">
        <v>17148</v>
      </c>
      <c r="AT114" s="67"/>
      <c r="AU114" s="68"/>
      <c r="AV114" s="68"/>
      <c r="AW114" s="68"/>
    </row>
    <row r="115" spans="1:49" ht="16.5" thickBot="1">
      <c r="A115" s="28">
        <v>38047</v>
      </c>
      <c r="B115" s="29">
        <f t="shared" si="3"/>
        <v>3</v>
      </c>
      <c r="C115" s="29">
        <f t="shared" si="4"/>
        <v>1</v>
      </c>
      <c r="D115" s="29">
        <f t="shared" si="5"/>
        <v>2004</v>
      </c>
      <c r="E115" s="11">
        <v>75.353481928899996</v>
      </c>
      <c r="F115" s="26">
        <v>6926.5</v>
      </c>
      <c r="G115" s="26">
        <v>6332.6</v>
      </c>
      <c r="H115" s="37">
        <v>4059</v>
      </c>
      <c r="I115" s="38">
        <v>983</v>
      </c>
      <c r="J115" s="13">
        <v>109.4</v>
      </c>
      <c r="K115" s="42">
        <v>111.8</v>
      </c>
      <c r="L115" s="23">
        <v>36.741304347826073</v>
      </c>
      <c r="M115" s="30">
        <v>79.69</v>
      </c>
      <c r="N115" s="30">
        <v>4.5031363636363642</v>
      </c>
      <c r="O115" s="12">
        <v>529.0554545454545</v>
      </c>
      <c r="P115" s="12">
        <v>571.10954545454547</v>
      </c>
      <c r="Q115" s="12">
        <v>1979.4786956521737</v>
      </c>
      <c r="R115" s="12">
        <v>1123.9782608695652</v>
      </c>
      <c r="S115" s="31">
        <v>0.17</v>
      </c>
      <c r="T115" s="42">
        <v>75.099999999999994</v>
      </c>
      <c r="U115" s="42">
        <v>75.900000000000006</v>
      </c>
      <c r="V115" s="42">
        <v>59.7</v>
      </c>
      <c r="W115" s="42">
        <v>71.5</v>
      </c>
      <c r="X115" s="23">
        <f>[1]ישיר!D104/1000</f>
        <v>7202.3670000000002</v>
      </c>
      <c r="Y115" s="23">
        <v>4937.2870000000003</v>
      </c>
      <c r="Z115" s="23">
        <f>[1]עקיף!H104</f>
        <v>983</v>
      </c>
      <c r="AA115" s="23">
        <f>[1]עקיף!P104</f>
        <v>933</v>
      </c>
      <c r="AB115" s="23">
        <f>[1]עקיף!Q104</f>
        <v>5975</v>
      </c>
      <c r="AH115" s="3">
        <v>26677.493158000001</v>
      </c>
      <c r="AI115" s="4">
        <v>184.9</v>
      </c>
      <c r="AJ115" s="68">
        <v>111.8</v>
      </c>
      <c r="AK115" s="68">
        <v>74.3</v>
      </c>
      <c r="AL115" s="74">
        <v>47.575205848996852</v>
      </c>
      <c r="AM115" s="72">
        <v>20004</v>
      </c>
      <c r="AT115" s="67"/>
      <c r="AU115" s="68"/>
      <c r="AV115" s="68"/>
      <c r="AW115" s="68"/>
    </row>
    <row r="116" spans="1:49" ht="16.5" thickBot="1">
      <c r="A116" s="28">
        <v>38078</v>
      </c>
      <c r="B116" s="29">
        <f t="shared" si="3"/>
        <v>4</v>
      </c>
      <c r="C116" s="29">
        <f t="shared" si="4"/>
        <v>2</v>
      </c>
      <c r="D116" s="29">
        <f t="shared" si="5"/>
        <v>2004</v>
      </c>
      <c r="E116" s="11">
        <v>76.188213349999998</v>
      </c>
      <c r="F116" s="26">
        <v>6673.2</v>
      </c>
      <c r="G116" s="26">
        <v>4712.8999999999996</v>
      </c>
      <c r="H116" s="37">
        <v>3383</v>
      </c>
      <c r="I116" s="38">
        <v>528</v>
      </c>
      <c r="J116" s="13">
        <v>115.2</v>
      </c>
      <c r="K116" s="42">
        <v>113.8</v>
      </c>
      <c r="L116" s="23">
        <v>36.75</v>
      </c>
      <c r="M116" s="30">
        <v>79.48</v>
      </c>
      <c r="N116" s="30">
        <v>4.5522941176470582</v>
      </c>
      <c r="O116" s="12">
        <v>537.66733333333343</v>
      </c>
      <c r="P116" s="12">
        <v>580.21333333333337</v>
      </c>
      <c r="Q116" s="12">
        <v>2021.3228571428572</v>
      </c>
      <c r="R116" s="12">
        <v>1133.0785714285712</v>
      </c>
      <c r="S116" s="34">
        <v>0.17</v>
      </c>
      <c r="T116" s="42">
        <v>75.5</v>
      </c>
      <c r="U116" s="42">
        <v>76.7</v>
      </c>
      <c r="V116" s="42">
        <v>62.1</v>
      </c>
      <c r="W116" s="42">
        <v>71.900000000000006</v>
      </c>
      <c r="X116" s="23">
        <f>[1]ישיר!D105/1000</f>
        <v>6591.4369999999999</v>
      </c>
      <c r="Y116" s="23">
        <v>4469.4830000000002</v>
      </c>
      <c r="Z116" s="23">
        <f>[1]עקיף!H105</f>
        <v>528</v>
      </c>
      <c r="AA116" s="23">
        <f>[1]עקיף!P105</f>
        <v>797</v>
      </c>
      <c r="AB116" s="23">
        <f>[1]עקיף!Q105</f>
        <v>4708</v>
      </c>
      <c r="AH116" s="3">
        <v>27162.737869000001</v>
      </c>
      <c r="AI116" s="4">
        <v>186.6</v>
      </c>
      <c r="AJ116" s="68">
        <v>113.8</v>
      </c>
      <c r="AK116" s="68">
        <v>74.5</v>
      </c>
      <c r="AL116" s="74">
        <v>47.805018835637242</v>
      </c>
      <c r="AM116" s="72">
        <v>22212</v>
      </c>
      <c r="AT116" s="67"/>
      <c r="AU116" s="68"/>
      <c r="AV116" s="68"/>
      <c r="AW116" s="68"/>
    </row>
    <row r="117" spans="1:49" ht="16.5" thickBot="1">
      <c r="A117" s="28">
        <v>38108</v>
      </c>
      <c r="B117" s="29">
        <f t="shared" si="3"/>
        <v>5</v>
      </c>
      <c r="C117" s="29">
        <f t="shared" si="4"/>
        <v>2</v>
      </c>
      <c r="D117" s="29">
        <f t="shared" si="5"/>
        <v>2004</v>
      </c>
      <c r="E117" s="11">
        <v>76.491752048699993</v>
      </c>
      <c r="F117" s="26">
        <v>6879.3</v>
      </c>
      <c r="G117" s="26">
        <v>6342.8</v>
      </c>
      <c r="H117" s="37">
        <v>4321</v>
      </c>
      <c r="I117" s="38">
        <v>1349</v>
      </c>
      <c r="J117" s="13">
        <v>116.1</v>
      </c>
      <c r="K117" s="42">
        <v>113.9</v>
      </c>
      <c r="L117" s="23">
        <v>40.274999999999999</v>
      </c>
      <c r="M117" s="30">
        <v>79.989999999999995</v>
      </c>
      <c r="N117" s="30">
        <v>4.5954999999999995</v>
      </c>
      <c r="O117" s="12">
        <v>525.69899999999984</v>
      </c>
      <c r="P117" s="12">
        <v>564.77100000000007</v>
      </c>
      <c r="Q117" s="12">
        <v>1930.0889999999999</v>
      </c>
      <c r="R117" s="12">
        <v>1102.7814999999998</v>
      </c>
      <c r="S117" s="34">
        <v>0.17</v>
      </c>
      <c r="T117" s="42">
        <v>75.2</v>
      </c>
      <c r="U117" s="42">
        <v>74.8</v>
      </c>
      <c r="V117" s="42">
        <v>60.6</v>
      </c>
      <c r="W117" s="42">
        <v>71.8</v>
      </c>
      <c r="X117" s="23">
        <f>[1]ישיר!D106/1000</f>
        <v>6849.5860000000002</v>
      </c>
      <c r="Y117" s="23">
        <v>4676.0749999999998</v>
      </c>
      <c r="Z117" s="23">
        <f>[1]עקיף!H106</f>
        <v>1349</v>
      </c>
      <c r="AA117" s="23">
        <f>[1]עקיף!P106</f>
        <v>818</v>
      </c>
      <c r="AB117" s="23">
        <f>[1]עקיף!Q106</f>
        <v>6488</v>
      </c>
      <c r="AH117" s="3">
        <v>26695.564229</v>
      </c>
      <c r="AI117" s="4">
        <v>187.6</v>
      </c>
      <c r="AJ117" s="68">
        <v>113.9</v>
      </c>
      <c r="AK117" s="68">
        <v>73</v>
      </c>
      <c r="AL117" s="74">
        <v>47.97768048379212</v>
      </c>
      <c r="AM117" s="72">
        <v>22740</v>
      </c>
      <c r="AT117" s="67"/>
      <c r="AU117" s="68"/>
      <c r="AV117" s="68"/>
      <c r="AW117" s="68"/>
    </row>
    <row r="118" spans="1:49" ht="16.5" thickBot="1">
      <c r="A118" s="28">
        <v>38139</v>
      </c>
      <c r="B118" s="29">
        <f t="shared" si="3"/>
        <v>6</v>
      </c>
      <c r="C118" s="29">
        <f t="shared" si="4"/>
        <v>2</v>
      </c>
      <c r="D118" s="29">
        <f t="shared" si="5"/>
        <v>2004</v>
      </c>
      <c r="E118" s="11">
        <v>76.491752048699993</v>
      </c>
      <c r="F118" s="26">
        <v>5780.5</v>
      </c>
      <c r="G118" s="26">
        <v>4603.8999999999996</v>
      </c>
      <c r="H118" s="37">
        <v>2748</v>
      </c>
      <c r="I118" s="38">
        <v>1049</v>
      </c>
      <c r="J118" s="13">
        <v>115.1</v>
      </c>
      <c r="K118" s="42">
        <v>116.3</v>
      </c>
      <c r="L118" s="23">
        <v>38.025238095238088</v>
      </c>
      <c r="M118" s="30">
        <v>79.959999999999994</v>
      </c>
      <c r="N118" s="30">
        <v>4.5166363636363638</v>
      </c>
      <c r="O118" s="12">
        <v>545.44772727272732</v>
      </c>
      <c r="P118" s="12">
        <v>582.55499999999995</v>
      </c>
      <c r="Q118" s="12">
        <v>2000.9795238095242</v>
      </c>
      <c r="R118" s="12">
        <v>1132.757142857143</v>
      </c>
      <c r="S118" s="34">
        <v>0.17</v>
      </c>
      <c r="T118" s="42">
        <v>76.2</v>
      </c>
      <c r="U118" s="42">
        <v>77.3</v>
      </c>
      <c r="V118" s="42">
        <v>61.5</v>
      </c>
      <c r="W118" s="42">
        <v>73.2</v>
      </c>
      <c r="X118" s="23">
        <f>[1]ישיר!D107/1000</f>
        <v>5861.768</v>
      </c>
      <c r="Y118" s="23">
        <v>4081.7460000000001</v>
      </c>
      <c r="Z118" s="23">
        <f>[1]עקיף!H107</f>
        <v>1049</v>
      </c>
      <c r="AA118" s="23">
        <f>[1]עקיף!P107</f>
        <v>799</v>
      </c>
      <c r="AB118" s="23">
        <f>[1]עקיף!Q107</f>
        <v>4596</v>
      </c>
      <c r="AH118" s="3">
        <v>26202.294794000001</v>
      </c>
      <c r="AI118" s="4">
        <v>186.6</v>
      </c>
      <c r="AJ118" s="68">
        <v>116.3</v>
      </c>
      <c r="AK118" s="68">
        <v>75</v>
      </c>
      <c r="AL118" s="74">
        <v>48.055244173559856</v>
      </c>
      <c r="AM118" s="72">
        <v>20628</v>
      </c>
      <c r="AT118" s="67"/>
      <c r="AU118" s="68"/>
      <c r="AV118" s="68"/>
      <c r="AW118" s="68"/>
    </row>
    <row r="119" spans="1:49" ht="16.5" thickBot="1">
      <c r="A119" s="28">
        <v>38169</v>
      </c>
      <c r="B119" s="29">
        <f t="shared" si="3"/>
        <v>7</v>
      </c>
      <c r="C119" s="29">
        <f t="shared" si="4"/>
        <v>3</v>
      </c>
      <c r="D119" s="29">
        <f t="shared" si="5"/>
        <v>2004</v>
      </c>
      <c r="E119" s="11">
        <v>76.339982699299995</v>
      </c>
      <c r="F119" s="26">
        <v>7061</v>
      </c>
      <c r="G119" s="26">
        <v>5573.2</v>
      </c>
      <c r="H119" s="37">
        <v>3686</v>
      </c>
      <c r="I119" s="38">
        <v>860</v>
      </c>
      <c r="J119" s="13">
        <v>117.9</v>
      </c>
      <c r="K119" s="42">
        <v>118.4</v>
      </c>
      <c r="L119" s="23">
        <v>40.778095238095254</v>
      </c>
      <c r="M119" s="30">
        <v>80.42</v>
      </c>
      <c r="N119" s="30">
        <v>4.4912380952380957</v>
      </c>
      <c r="O119" s="12">
        <v>553.80049999999994</v>
      </c>
      <c r="P119" s="12">
        <v>589.07950000000005</v>
      </c>
      <c r="Q119" s="12">
        <v>1912.4242857142858</v>
      </c>
      <c r="R119" s="12">
        <v>1105.8466666666666</v>
      </c>
      <c r="S119" s="34">
        <v>0.17</v>
      </c>
      <c r="T119" s="42">
        <v>75.900000000000006</v>
      </c>
      <c r="U119" s="42">
        <v>77.599999999999994</v>
      </c>
      <c r="V119" s="42">
        <v>61.4</v>
      </c>
      <c r="W119" s="42">
        <v>76.099999999999994</v>
      </c>
      <c r="X119" s="23">
        <f>[1]ישיר!D108/1000</f>
        <v>7085.7740000000003</v>
      </c>
      <c r="Y119" s="23">
        <v>4950.9350000000004</v>
      </c>
      <c r="Z119" s="23">
        <f>[1]עקיף!H108</f>
        <v>860</v>
      </c>
      <c r="AA119" s="23">
        <f>[1]עקיף!P108</f>
        <v>917</v>
      </c>
      <c r="AB119" s="23">
        <f>[1]עקיף!Q108</f>
        <v>5463</v>
      </c>
      <c r="AH119" s="3">
        <v>26328.980195</v>
      </c>
      <c r="AI119" s="4">
        <v>187.2</v>
      </c>
      <c r="AJ119" s="68">
        <v>118.4</v>
      </c>
      <c r="AK119" s="68">
        <v>73.7</v>
      </c>
      <c r="AL119" s="74">
        <v>47.969330569762541</v>
      </c>
      <c r="AM119" s="72">
        <v>17232</v>
      </c>
      <c r="AT119" s="67"/>
      <c r="AU119" s="68"/>
      <c r="AV119" s="68"/>
      <c r="AW119" s="68"/>
    </row>
    <row r="120" spans="1:49" ht="16.5" thickBot="1">
      <c r="A120" s="28">
        <v>38200</v>
      </c>
      <c r="B120" s="29">
        <f t="shared" si="3"/>
        <v>8</v>
      </c>
      <c r="C120" s="29">
        <f t="shared" si="4"/>
        <v>3</v>
      </c>
      <c r="D120" s="29">
        <f t="shared" si="5"/>
        <v>2004</v>
      </c>
      <c r="E120" s="11">
        <v>76.491752048699993</v>
      </c>
      <c r="F120" s="26">
        <v>6202.5</v>
      </c>
      <c r="G120" s="26">
        <v>6192.1</v>
      </c>
      <c r="H120" s="37">
        <v>4234</v>
      </c>
      <c r="I120" s="38">
        <v>1279</v>
      </c>
      <c r="J120" s="13">
        <v>114.3</v>
      </c>
      <c r="K120" s="42">
        <v>119.9</v>
      </c>
      <c r="L120" s="23">
        <v>44.903181818181821</v>
      </c>
      <c r="M120" s="30">
        <v>80.27</v>
      </c>
      <c r="N120" s="30">
        <v>4.5340909090909101</v>
      </c>
      <c r="O120" s="12">
        <v>522.0847826086956</v>
      </c>
      <c r="P120" s="12">
        <v>549.8073913043479</v>
      </c>
      <c r="Q120" s="12">
        <v>1821.5381818181816</v>
      </c>
      <c r="R120" s="12">
        <v>1088.9349999999999</v>
      </c>
      <c r="S120" s="34">
        <v>0.17</v>
      </c>
      <c r="T120" s="42">
        <v>76.900000000000006</v>
      </c>
      <c r="U120" s="42">
        <v>77.3</v>
      </c>
      <c r="V120" s="42">
        <v>60.5</v>
      </c>
      <c r="W120" s="42">
        <v>75.900000000000006</v>
      </c>
      <c r="X120" s="23">
        <f>[1]ישיר!D109/1000</f>
        <v>6174.7240000000002</v>
      </c>
      <c r="Y120" s="23">
        <v>4270.1239999999998</v>
      </c>
      <c r="Z120" s="23">
        <f>[1]עקיף!H109</f>
        <v>1279</v>
      </c>
      <c r="AA120" s="23">
        <f>[1]עקיף!P109</f>
        <v>859</v>
      </c>
      <c r="AB120" s="23">
        <f>[1]עקיף!Q109</f>
        <v>6372</v>
      </c>
      <c r="AH120" s="3">
        <v>26134.377090999998</v>
      </c>
      <c r="AI120" s="4">
        <v>185.7</v>
      </c>
      <c r="AJ120" s="68">
        <v>119.8</v>
      </c>
      <c r="AK120" s="68">
        <v>74.900000000000006</v>
      </c>
      <c r="AL120" s="74">
        <v>48.256596520383319</v>
      </c>
      <c r="AM120" s="72">
        <v>19680</v>
      </c>
      <c r="AT120" s="67"/>
      <c r="AU120" s="68"/>
      <c r="AV120" s="68"/>
      <c r="AW120" s="68"/>
    </row>
    <row r="121" spans="1:49" ht="16.5" thickBot="1">
      <c r="A121" s="28">
        <v>38231</v>
      </c>
      <c r="B121" s="29">
        <f t="shared" si="3"/>
        <v>9</v>
      </c>
      <c r="C121" s="29">
        <f t="shared" si="4"/>
        <v>3</v>
      </c>
      <c r="D121" s="29">
        <f t="shared" si="5"/>
        <v>2004</v>
      </c>
      <c r="E121" s="11">
        <v>76.339982699299995</v>
      </c>
      <c r="F121" s="26">
        <v>6875.7</v>
      </c>
      <c r="G121" s="26">
        <v>5602</v>
      </c>
      <c r="H121" s="37">
        <v>3914</v>
      </c>
      <c r="I121" s="38">
        <v>750</v>
      </c>
      <c r="J121" s="13">
        <v>116.8</v>
      </c>
      <c r="K121" s="42">
        <v>119.4</v>
      </c>
      <c r="L121" s="23">
        <v>45.93571428571429</v>
      </c>
      <c r="M121" s="30">
        <v>79.97</v>
      </c>
      <c r="N121" s="30">
        <v>4.4974666666666661</v>
      </c>
      <c r="O121" s="12">
        <v>530.62749999999994</v>
      </c>
      <c r="P121" s="12">
        <v>559.8175</v>
      </c>
      <c r="Q121" s="12">
        <v>1884.7309523809522</v>
      </c>
      <c r="R121" s="12">
        <v>1117.6561904761907</v>
      </c>
      <c r="S121" s="34">
        <v>0.17</v>
      </c>
      <c r="T121" s="42">
        <v>78.099999999999994</v>
      </c>
      <c r="U121" s="42">
        <v>79</v>
      </c>
      <c r="V121" s="42">
        <v>63.8</v>
      </c>
      <c r="W121" s="42">
        <v>76.599999999999994</v>
      </c>
      <c r="X121" s="23">
        <f>[1]ישיר!D110/1000</f>
        <v>6925.5129999999999</v>
      </c>
      <c r="Y121" s="23">
        <v>4464.3689999999997</v>
      </c>
      <c r="Z121" s="23">
        <f>[1]עקיף!H110</f>
        <v>750</v>
      </c>
      <c r="AA121" s="23">
        <f>[1]עקיף!P110</f>
        <v>834</v>
      </c>
      <c r="AB121" s="23">
        <f>[1]עקיף!Q110</f>
        <v>5498</v>
      </c>
      <c r="AH121" s="3">
        <v>26315.378712999998</v>
      </c>
      <c r="AI121" s="4">
        <v>182.4</v>
      </c>
      <c r="AJ121" s="68">
        <v>119.3</v>
      </c>
      <c r="AK121" s="68">
        <v>75</v>
      </c>
      <c r="AL121" s="74">
        <v>48.630172505892077</v>
      </c>
      <c r="AM121" s="72">
        <v>20892</v>
      </c>
      <c r="AT121" s="67"/>
      <c r="AU121" s="68"/>
      <c r="AV121" s="68"/>
      <c r="AW121" s="68"/>
    </row>
    <row r="122" spans="1:49" ht="16.5" thickBot="1">
      <c r="A122" s="28">
        <v>38261</v>
      </c>
      <c r="B122" s="29">
        <f t="shared" si="3"/>
        <v>10</v>
      </c>
      <c r="C122" s="29">
        <f t="shared" si="4"/>
        <v>4</v>
      </c>
      <c r="D122" s="29">
        <f t="shared" si="5"/>
        <v>2004</v>
      </c>
      <c r="E122" s="11">
        <v>76.339982699299995</v>
      </c>
      <c r="F122" s="26">
        <v>6404.8</v>
      </c>
      <c r="G122" s="26">
        <v>5536.9</v>
      </c>
      <c r="H122" s="37">
        <v>3656</v>
      </c>
      <c r="I122" s="38">
        <v>1043</v>
      </c>
      <c r="J122" s="13">
        <v>116.5</v>
      </c>
      <c r="K122" s="42">
        <v>118.9</v>
      </c>
      <c r="L122" s="23">
        <v>53.280476190476186</v>
      </c>
      <c r="M122" s="30">
        <v>80.31</v>
      </c>
      <c r="N122" s="30">
        <v>4.4596</v>
      </c>
      <c r="O122" s="12">
        <v>528.29105263157908</v>
      </c>
      <c r="P122" s="12">
        <v>553.42157894736829</v>
      </c>
      <c r="Q122" s="12">
        <v>1938.2523809523807</v>
      </c>
      <c r="R122" s="12">
        <v>1118.0680952380953</v>
      </c>
      <c r="S122" s="34">
        <v>0.17</v>
      </c>
      <c r="T122" s="42">
        <v>77.2</v>
      </c>
      <c r="U122" s="42">
        <v>77.400000000000006</v>
      </c>
      <c r="V122" s="42">
        <v>60.8</v>
      </c>
      <c r="W122" s="42">
        <v>75.8</v>
      </c>
      <c r="X122" s="23">
        <f>[1]ישיר!D111/1000</f>
        <v>6348.0450000000001</v>
      </c>
      <c r="Y122" s="23">
        <v>4169.9620000000004</v>
      </c>
      <c r="Z122" s="23">
        <f>[1]עקיף!H111</f>
        <v>1043</v>
      </c>
      <c r="AA122" s="23">
        <f>[1]עקיף!P111</f>
        <v>834</v>
      </c>
      <c r="AB122" s="23">
        <f>[1]עקיף!Q111</f>
        <v>5533</v>
      </c>
      <c r="AH122" s="3">
        <v>26094.420620000001</v>
      </c>
      <c r="AI122" s="4">
        <v>182</v>
      </c>
      <c r="AJ122" s="68">
        <v>118.9</v>
      </c>
      <c r="AK122" s="68">
        <v>78.2</v>
      </c>
      <c r="AL122" s="74">
        <v>49.103017932651937</v>
      </c>
      <c r="AM122" s="72">
        <v>18324</v>
      </c>
      <c r="AT122" s="67"/>
      <c r="AU122" s="68"/>
      <c r="AV122" s="68"/>
      <c r="AW122" s="68"/>
    </row>
    <row r="123" spans="1:49" ht="16.5" thickBot="1">
      <c r="A123" s="28">
        <v>38292</v>
      </c>
      <c r="B123" s="29">
        <f t="shared" si="3"/>
        <v>11</v>
      </c>
      <c r="C123" s="29">
        <f t="shared" si="4"/>
        <v>4</v>
      </c>
      <c r="D123" s="29">
        <f t="shared" si="5"/>
        <v>2004</v>
      </c>
      <c r="E123" s="11">
        <v>76.264098024700004</v>
      </c>
      <c r="F123" s="26">
        <v>6506.1</v>
      </c>
      <c r="G123" s="26">
        <v>5550</v>
      </c>
      <c r="H123" s="37">
        <v>3674</v>
      </c>
      <c r="I123" s="38">
        <v>1013</v>
      </c>
      <c r="J123" s="13">
        <v>114.6</v>
      </c>
      <c r="K123" s="42">
        <v>119</v>
      </c>
      <c r="L123" s="23">
        <v>48.469000000000001</v>
      </c>
      <c r="M123" s="30">
        <v>79.63</v>
      </c>
      <c r="N123" s="30">
        <v>4.4052272727272728</v>
      </c>
      <c r="O123" s="12">
        <v>554.8659090909091</v>
      </c>
      <c r="P123" s="12">
        <v>580.65318181818191</v>
      </c>
      <c r="Q123" s="12">
        <v>2062.87</v>
      </c>
      <c r="R123" s="12">
        <v>1168.9376190476189</v>
      </c>
      <c r="S123" s="34">
        <v>0.17</v>
      </c>
      <c r="T123" s="42">
        <v>77.2</v>
      </c>
      <c r="U123" s="42">
        <v>78.2</v>
      </c>
      <c r="V123" s="42">
        <v>62.6</v>
      </c>
      <c r="W123" s="42">
        <v>75.099999999999994</v>
      </c>
      <c r="X123" s="23">
        <f>[1]ישיר!D112/1000</f>
        <v>6683.94</v>
      </c>
      <c r="Y123" s="23">
        <v>4404.6090000000004</v>
      </c>
      <c r="Z123" s="23">
        <f>[1]עקיף!H112</f>
        <v>1013</v>
      </c>
      <c r="AA123" s="23">
        <f>[1]עקיף!P112</f>
        <v>798</v>
      </c>
      <c r="AB123" s="23">
        <f>[1]עקיף!Q112</f>
        <v>5485</v>
      </c>
      <c r="AH123" s="3">
        <v>27338.983810000002</v>
      </c>
      <c r="AI123" s="4">
        <v>180.4</v>
      </c>
      <c r="AJ123" s="68">
        <v>119</v>
      </c>
      <c r="AK123" s="68">
        <v>75.8</v>
      </c>
      <c r="AL123" s="74">
        <v>49.409875919084051</v>
      </c>
      <c r="AM123" s="72">
        <v>17136</v>
      </c>
      <c r="AT123" s="67"/>
      <c r="AU123" s="68"/>
      <c r="AV123" s="68"/>
      <c r="AW123" s="68"/>
    </row>
    <row r="124" spans="1:49" ht="16.5" thickBot="1">
      <c r="A124" s="28">
        <v>38322</v>
      </c>
      <c r="B124" s="29">
        <f t="shared" si="3"/>
        <v>12</v>
      </c>
      <c r="C124" s="29">
        <f t="shared" si="4"/>
        <v>4</v>
      </c>
      <c r="D124" s="29">
        <f t="shared" si="5"/>
        <v>2004</v>
      </c>
      <c r="E124" s="11">
        <v>76.339982699299995</v>
      </c>
      <c r="F124" s="26">
        <v>6794.2</v>
      </c>
      <c r="G124" s="26">
        <v>5469.3</v>
      </c>
      <c r="H124" s="37">
        <v>3226</v>
      </c>
      <c r="I124" s="38">
        <v>1178</v>
      </c>
      <c r="J124" s="13">
        <v>116.9</v>
      </c>
      <c r="K124" s="42">
        <v>120.8</v>
      </c>
      <c r="L124" s="23">
        <v>43.149523809523807</v>
      </c>
      <c r="M124" s="30">
        <v>78.61</v>
      </c>
      <c r="N124" s="30">
        <v>4.3418260869565213</v>
      </c>
      <c r="O124" s="12">
        <v>599.15318181818191</v>
      </c>
      <c r="P124" s="12">
        <v>619.17500000000007</v>
      </c>
      <c r="Q124" s="12">
        <v>2149.5318181818188</v>
      </c>
      <c r="R124" s="12">
        <v>1199.2095454545454</v>
      </c>
      <c r="S124" s="34">
        <v>0.17</v>
      </c>
      <c r="T124" s="42">
        <v>78</v>
      </c>
      <c r="U124" s="42">
        <v>82.4</v>
      </c>
      <c r="V124" s="42">
        <v>62</v>
      </c>
      <c r="W124" s="42">
        <v>76.5</v>
      </c>
      <c r="X124" s="23">
        <f>[1]ישיר!D113/1000</f>
        <v>5938.9750000000004</v>
      </c>
      <c r="Y124" s="23">
        <v>4385.5410000000002</v>
      </c>
      <c r="Z124" s="23">
        <f>[1]עקיף!H113</f>
        <v>1178</v>
      </c>
      <c r="AA124" s="23">
        <f>[1]עקיף!P113</f>
        <v>864</v>
      </c>
      <c r="AB124" s="23">
        <f>[1]עקיף!Q113</f>
        <v>5268</v>
      </c>
      <c r="AH124" s="3">
        <v>27094.577019</v>
      </c>
      <c r="AI124" s="4">
        <v>178.8</v>
      </c>
      <c r="AJ124" s="68">
        <v>120.8</v>
      </c>
      <c r="AK124" s="68">
        <v>74.599999999999994</v>
      </c>
      <c r="AL124" s="74">
        <v>49.610998530607233</v>
      </c>
      <c r="AM124" s="72">
        <v>17328</v>
      </c>
      <c r="AT124" s="67"/>
      <c r="AU124" s="68"/>
      <c r="AV124" s="68"/>
      <c r="AW124" s="68"/>
    </row>
    <row r="125" spans="1:49" ht="16.5" thickBot="1">
      <c r="A125" s="28">
        <v>38353</v>
      </c>
      <c r="B125" s="29">
        <f t="shared" si="3"/>
        <v>1</v>
      </c>
      <c r="C125" s="29">
        <f t="shared" si="4"/>
        <v>1</v>
      </c>
      <c r="D125" s="29">
        <f t="shared" si="5"/>
        <v>2005</v>
      </c>
      <c r="E125" s="11">
        <v>75.884674651400005</v>
      </c>
      <c r="F125" s="26">
        <v>7327.9</v>
      </c>
      <c r="G125" s="26">
        <v>5958.7</v>
      </c>
      <c r="H125" s="37">
        <v>4420</v>
      </c>
      <c r="I125" s="38">
        <v>925.5</v>
      </c>
      <c r="J125" s="13">
        <v>118.6</v>
      </c>
      <c r="K125" s="42">
        <v>124</v>
      </c>
      <c r="L125" s="23">
        <v>46.836999999999982</v>
      </c>
      <c r="M125" s="30">
        <v>78.39</v>
      </c>
      <c r="N125" s="30">
        <v>4.3786666666666667</v>
      </c>
      <c r="O125" s="12">
        <v>623.74590909090909</v>
      </c>
      <c r="P125" s="12">
        <v>649.05090909090916</v>
      </c>
      <c r="Q125" s="12">
        <v>2071.8715000000002</v>
      </c>
      <c r="R125" s="12">
        <v>1181.4079999999999</v>
      </c>
      <c r="S125" s="34">
        <v>0.17</v>
      </c>
      <c r="T125" s="42">
        <v>78.3</v>
      </c>
      <c r="U125" s="42">
        <v>78.900000000000006</v>
      </c>
      <c r="V125" s="42">
        <v>62.1</v>
      </c>
      <c r="W125" s="42">
        <v>77</v>
      </c>
      <c r="X125" s="23">
        <f>[1]ישיר!D114/1000</f>
        <v>8374.3960000000006</v>
      </c>
      <c r="Y125" s="23">
        <v>5645.0389999999998</v>
      </c>
      <c r="Z125" s="23">
        <f>[1]עקיף!H114</f>
        <v>925.5</v>
      </c>
      <c r="AA125" s="23">
        <f>[1]עקיף!P114</f>
        <v>862.5</v>
      </c>
      <c r="AB125" s="23">
        <f>[1]עקיף!Q114</f>
        <v>6208</v>
      </c>
      <c r="AF125" s="78"/>
      <c r="AG125" s="78">
        <v>2441.5</v>
      </c>
      <c r="AH125" s="3">
        <v>27179.689273</v>
      </c>
      <c r="AI125" s="4">
        <v>178.6</v>
      </c>
      <c r="AJ125" s="69">
        <v>124</v>
      </c>
      <c r="AK125" s="68">
        <v>79.099999999999994</v>
      </c>
      <c r="AL125" s="74">
        <v>49.652882720746298</v>
      </c>
      <c r="AM125" s="72">
        <v>18684</v>
      </c>
      <c r="AT125" s="67"/>
      <c r="AU125" s="68"/>
      <c r="AV125" s="68"/>
      <c r="AW125" s="68"/>
    </row>
    <row r="126" spans="1:49" ht="16.5" thickBot="1">
      <c r="A126" s="28">
        <v>38384</v>
      </c>
      <c r="B126" s="29">
        <f t="shared" si="3"/>
        <v>2</v>
      </c>
      <c r="C126" s="29">
        <f t="shared" si="4"/>
        <v>1</v>
      </c>
      <c r="D126" s="29">
        <f t="shared" si="5"/>
        <v>2005</v>
      </c>
      <c r="E126" s="11">
        <v>76.036444000700001</v>
      </c>
      <c r="F126" s="26">
        <v>7031.1</v>
      </c>
      <c r="G126" s="26">
        <v>5065.6000000000004</v>
      </c>
      <c r="H126" s="37">
        <v>3262</v>
      </c>
      <c r="I126" s="38">
        <v>844</v>
      </c>
      <c r="J126" s="13">
        <v>122</v>
      </c>
      <c r="K126" s="42">
        <v>123.1</v>
      </c>
      <c r="L126" s="23">
        <v>48.148947368421055</v>
      </c>
      <c r="M126" s="30">
        <v>77.89</v>
      </c>
      <c r="N126" s="30">
        <v>4.3702500000000004</v>
      </c>
      <c r="O126" s="12">
        <v>641.99599999999987</v>
      </c>
      <c r="P126" s="12">
        <v>666.03250000000003</v>
      </c>
      <c r="Q126" s="12">
        <v>2065.7357894736838</v>
      </c>
      <c r="R126" s="12">
        <v>1199.626842105263</v>
      </c>
      <c r="S126" s="34">
        <v>0.17</v>
      </c>
      <c r="T126" s="42">
        <v>79.099999999999994</v>
      </c>
      <c r="U126" s="42">
        <v>79.900000000000006</v>
      </c>
      <c r="V126" s="42">
        <v>63.3</v>
      </c>
      <c r="W126" s="42">
        <v>83.7</v>
      </c>
      <c r="X126" s="23">
        <f>[1]ישיר!D115/1000</f>
        <v>7002.87</v>
      </c>
      <c r="Y126" s="23">
        <v>4708.9290000000001</v>
      </c>
      <c r="Z126" s="23">
        <f>[1]עקיף!H115</f>
        <v>844</v>
      </c>
      <c r="AA126" s="23">
        <f>[1]עקיף!P115</f>
        <v>813</v>
      </c>
      <c r="AB126" s="23">
        <f>[1]עקיף!Q115</f>
        <v>4919</v>
      </c>
      <c r="AF126" s="78"/>
      <c r="AG126" s="78">
        <v>2449.8000000000002</v>
      </c>
      <c r="AH126" s="3">
        <v>27207.762798</v>
      </c>
      <c r="AI126" s="4">
        <v>179.5</v>
      </c>
      <c r="AJ126" s="69">
        <v>123.1</v>
      </c>
      <c r="AK126" s="68">
        <v>78</v>
      </c>
      <c r="AL126" s="74">
        <v>49.553487061243281</v>
      </c>
      <c r="AM126" s="72">
        <v>17196</v>
      </c>
      <c r="AT126" s="67"/>
      <c r="AU126" s="68"/>
      <c r="AV126" s="68"/>
      <c r="AW126" s="68"/>
    </row>
    <row r="127" spans="1:49" ht="16.5" thickBot="1">
      <c r="A127" s="28">
        <v>38412</v>
      </c>
      <c r="B127" s="29">
        <f t="shared" si="3"/>
        <v>3</v>
      </c>
      <c r="C127" s="29">
        <f t="shared" si="4"/>
        <v>1</v>
      </c>
      <c r="D127" s="29">
        <f t="shared" si="5"/>
        <v>2005</v>
      </c>
      <c r="E127" s="11">
        <v>75.884674651400005</v>
      </c>
      <c r="F127" s="26">
        <v>7808.2</v>
      </c>
      <c r="G127" s="26">
        <v>6079.2</v>
      </c>
      <c r="H127" s="37">
        <v>4239</v>
      </c>
      <c r="I127" s="43">
        <v>932</v>
      </c>
      <c r="J127" s="13">
        <v>122.2</v>
      </c>
      <c r="K127" s="42">
        <v>126.9</v>
      </c>
      <c r="L127" s="23">
        <v>54.186818181818175</v>
      </c>
      <c r="M127" s="30">
        <v>77.92</v>
      </c>
      <c r="N127" s="30">
        <v>4.3290000000000006</v>
      </c>
      <c r="O127" s="12">
        <v>651.24739130434784</v>
      </c>
      <c r="P127" s="12">
        <v>675.92</v>
      </c>
      <c r="Q127" s="12">
        <v>2030.433636363636</v>
      </c>
      <c r="R127" s="12">
        <v>1194.8977272727273</v>
      </c>
      <c r="S127" s="34">
        <v>0.17</v>
      </c>
      <c r="T127" s="42">
        <v>78.400000000000006</v>
      </c>
      <c r="U127" s="42">
        <v>80.400000000000006</v>
      </c>
      <c r="V127" s="42">
        <v>64.599999999999994</v>
      </c>
      <c r="W127" s="42">
        <v>79</v>
      </c>
      <c r="X127" s="23">
        <f>[1]ישיר!D116/1000</f>
        <v>7819.35</v>
      </c>
      <c r="Y127" s="23">
        <v>4701.3890000000001</v>
      </c>
      <c r="Z127" s="23">
        <f>[1]עקיף!H116</f>
        <v>932</v>
      </c>
      <c r="AA127" s="23">
        <f>[1]עקיף!P116</f>
        <v>850</v>
      </c>
      <c r="AB127" s="23">
        <f>[1]עקיף!Q116</f>
        <v>6021</v>
      </c>
      <c r="AF127" s="78"/>
      <c r="AG127" s="78">
        <v>2457.3000000000002</v>
      </c>
      <c r="AH127" s="3">
        <v>27155.905404000001</v>
      </c>
      <c r="AI127" s="4">
        <v>182.2</v>
      </c>
      <c r="AJ127" s="69">
        <v>126.9</v>
      </c>
      <c r="AK127" s="68">
        <v>77.7</v>
      </c>
      <c r="AL127" s="74">
        <v>49.702527272651444</v>
      </c>
      <c r="AM127" s="72">
        <v>18108</v>
      </c>
      <c r="AT127" s="67"/>
      <c r="AU127" s="68"/>
      <c r="AV127" s="68"/>
      <c r="AW127" s="68"/>
    </row>
    <row r="128" spans="1:49" ht="16.5" thickBot="1">
      <c r="A128" s="28">
        <v>38443</v>
      </c>
      <c r="B128" s="29">
        <f t="shared" si="3"/>
        <v>4</v>
      </c>
      <c r="C128" s="29">
        <f t="shared" si="4"/>
        <v>2</v>
      </c>
      <c r="D128" s="29">
        <f t="shared" si="5"/>
        <v>2005</v>
      </c>
      <c r="E128" s="11">
        <v>76.415867374000001</v>
      </c>
      <c r="F128" s="26">
        <v>6976.8</v>
      </c>
      <c r="G128" s="26">
        <v>4658.7</v>
      </c>
      <c r="H128" s="37">
        <v>3168</v>
      </c>
      <c r="I128" s="43">
        <v>760</v>
      </c>
      <c r="J128" s="13">
        <v>121.9</v>
      </c>
      <c r="K128" s="42">
        <v>125.6</v>
      </c>
      <c r="L128" s="23">
        <v>52.979047619047627</v>
      </c>
      <c r="M128" s="30">
        <v>77.66</v>
      </c>
      <c r="N128" s="30">
        <v>4.3714499999999994</v>
      </c>
      <c r="O128" s="12">
        <v>650.77421052631598</v>
      </c>
      <c r="P128" s="12">
        <v>672.94526315789471</v>
      </c>
      <c r="Q128" s="12">
        <v>1957.4928571428575</v>
      </c>
      <c r="R128" s="12">
        <v>1164.4276190476187</v>
      </c>
      <c r="S128" s="34">
        <v>0.17</v>
      </c>
      <c r="T128" s="42">
        <v>79.8</v>
      </c>
      <c r="U128" s="42">
        <v>79.5</v>
      </c>
      <c r="V128" s="42">
        <v>62.6</v>
      </c>
      <c r="W128" s="42">
        <v>81.5</v>
      </c>
      <c r="X128" s="23">
        <f>[1]ישיר!D117/1000</f>
        <v>7045.6580000000004</v>
      </c>
      <c r="Y128" s="23">
        <v>4260.5460000000003</v>
      </c>
      <c r="Z128" s="23">
        <f>[1]עקיף!H117</f>
        <v>760</v>
      </c>
      <c r="AA128" s="23">
        <f>[1]עקיף!P117</f>
        <v>836</v>
      </c>
      <c r="AB128" s="23">
        <f>[1]עקיף!Q117</f>
        <v>4764</v>
      </c>
      <c r="AF128" s="78"/>
      <c r="AG128" s="78">
        <v>2470.9</v>
      </c>
      <c r="AH128" s="3">
        <v>26926.251516</v>
      </c>
      <c r="AI128" s="4">
        <v>182.5</v>
      </c>
      <c r="AJ128" s="69">
        <v>125.6</v>
      </c>
      <c r="AK128" s="68">
        <v>78.5</v>
      </c>
      <c r="AL128" s="74">
        <v>49.925760949465108</v>
      </c>
      <c r="AM128" s="72">
        <v>18468</v>
      </c>
      <c r="AT128" s="67"/>
      <c r="AU128" s="68"/>
      <c r="AV128" s="68"/>
      <c r="AW128" s="68"/>
    </row>
    <row r="129" spans="1:49" ht="16.5" thickBot="1">
      <c r="A129" s="28">
        <v>38473</v>
      </c>
      <c r="B129" s="29">
        <f t="shared" si="3"/>
        <v>5</v>
      </c>
      <c r="C129" s="29">
        <f t="shared" si="4"/>
        <v>2</v>
      </c>
      <c r="D129" s="29">
        <f t="shared" si="5"/>
        <v>2005</v>
      </c>
      <c r="E129" s="11">
        <v>76.643521398000004</v>
      </c>
      <c r="F129" s="26">
        <v>7928.6</v>
      </c>
      <c r="G129" s="26">
        <v>7211.5</v>
      </c>
      <c r="H129" s="37">
        <v>4855</v>
      </c>
      <c r="I129" s="44">
        <v>1486</v>
      </c>
      <c r="J129" s="13">
        <v>122.3</v>
      </c>
      <c r="K129" s="42">
        <v>128.4</v>
      </c>
      <c r="L129" s="23">
        <v>49.833809523809521</v>
      </c>
      <c r="M129" s="30">
        <v>77.84</v>
      </c>
      <c r="N129" s="30">
        <v>4.3736499999999996</v>
      </c>
      <c r="O129" s="12">
        <v>673.17333333333329</v>
      </c>
      <c r="P129" s="12">
        <v>692.77238095238079</v>
      </c>
      <c r="Q129" s="12">
        <v>2005.2171428571435</v>
      </c>
      <c r="R129" s="12">
        <v>1178.275714285714</v>
      </c>
      <c r="S129" s="34">
        <v>0.17</v>
      </c>
      <c r="T129" s="42">
        <v>80.5</v>
      </c>
      <c r="U129" s="42">
        <v>81.599999999999994</v>
      </c>
      <c r="V129" s="42">
        <v>63.8</v>
      </c>
      <c r="W129" s="42">
        <v>77.400000000000006</v>
      </c>
      <c r="X129" s="23">
        <f>[1]ישיר!D118/1000</f>
        <v>7929.7240000000002</v>
      </c>
      <c r="Y129" s="23">
        <v>5119.4080000000004</v>
      </c>
      <c r="Z129" s="23">
        <f>[1]עקיף!H118</f>
        <v>1486</v>
      </c>
      <c r="AA129" s="23">
        <f>[1]עקיף!P118</f>
        <v>842</v>
      </c>
      <c r="AB129" s="23">
        <f>[1]עקיף!Q118</f>
        <v>7183</v>
      </c>
      <c r="AF129" s="78"/>
      <c r="AG129" s="78">
        <v>2473.6</v>
      </c>
      <c r="AH129" s="3">
        <v>26605.166401999999</v>
      </c>
      <c r="AI129" s="4">
        <v>183.1</v>
      </c>
      <c r="AJ129" s="69">
        <v>128.4</v>
      </c>
      <c r="AK129" s="68">
        <v>78.2</v>
      </c>
      <c r="AL129" s="74">
        <v>50.207520841193919</v>
      </c>
      <c r="AM129" s="72">
        <v>18972</v>
      </c>
      <c r="AT129" s="67"/>
      <c r="AU129" s="68"/>
      <c r="AV129" s="68"/>
      <c r="AW129" s="68"/>
    </row>
    <row r="130" spans="1:49" ht="16.5" thickBot="1">
      <c r="A130" s="28">
        <v>38504</v>
      </c>
      <c r="B130" s="29">
        <f t="shared" si="3"/>
        <v>6</v>
      </c>
      <c r="C130" s="29">
        <f t="shared" si="4"/>
        <v>2</v>
      </c>
      <c r="D130" s="29">
        <f t="shared" si="5"/>
        <v>2005</v>
      </c>
      <c r="E130" s="11">
        <v>76.719406072599995</v>
      </c>
      <c r="F130" s="26">
        <v>7262.8</v>
      </c>
      <c r="G130" s="26">
        <v>5129.5</v>
      </c>
      <c r="H130" s="37">
        <v>3012</v>
      </c>
      <c r="I130" s="44">
        <v>1131</v>
      </c>
      <c r="J130" s="16">
        <v>118.6</v>
      </c>
      <c r="K130" s="42">
        <v>128</v>
      </c>
      <c r="L130" s="23">
        <v>56.352272727272727</v>
      </c>
      <c r="M130" s="30">
        <v>78.47</v>
      </c>
      <c r="N130" s="30">
        <v>4.4849047619047608</v>
      </c>
      <c r="O130" s="12">
        <v>665.50199999999995</v>
      </c>
      <c r="P130" s="12">
        <v>679.19100000000003</v>
      </c>
      <c r="Q130" s="12">
        <v>2074.0172727272725</v>
      </c>
      <c r="R130" s="12">
        <v>1202.2531818181815</v>
      </c>
      <c r="S130" s="34">
        <v>0.17</v>
      </c>
      <c r="T130" s="42">
        <v>80.3</v>
      </c>
      <c r="U130" s="42">
        <v>81.599999999999994</v>
      </c>
      <c r="V130" s="42">
        <v>65.099999999999994</v>
      </c>
      <c r="W130" s="42">
        <v>81.2</v>
      </c>
      <c r="X130" s="23">
        <f>[1]ישיר!D119/1000</f>
        <v>7014.348</v>
      </c>
      <c r="Y130" s="23">
        <v>4358.183</v>
      </c>
      <c r="Z130" s="23">
        <f>[1]עקיף!H119</f>
        <v>1131</v>
      </c>
      <c r="AA130" s="23">
        <f>[1]עקיף!P119</f>
        <v>897</v>
      </c>
      <c r="AB130" s="23">
        <f>[1]עקיף!Q119</f>
        <v>5040</v>
      </c>
      <c r="AF130" s="78"/>
      <c r="AG130" s="78">
        <v>2478.5</v>
      </c>
      <c r="AH130" s="3">
        <v>26598.256139000001</v>
      </c>
      <c r="AI130" s="4">
        <v>185.6</v>
      </c>
      <c r="AJ130" s="69">
        <v>127.9</v>
      </c>
      <c r="AK130" s="68">
        <v>77.2</v>
      </c>
      <c r="AL130" s="74">
        <v>50.099669420508306</v>
      </c>
      <c r="AM130" s="72">
        <v>20184</v>
      </c>
      <c r="AT130" s="67"/>
      <c r="AU130" s="76"/>
      <c r="AV130" s="68"/>
      <c r="AW130" s="68"/>
    </row>
    <row r="131" spans="1:49" ht="16.5" thickBot="1">
      <c r="A131" s="28">
        <v>38534</v>
      </c>
      <c r="B131" s="29">
        <f t="shared" si="3"/>
        <v>7</v>
      </c>
      <c r="C131" s="29">
        <f t="shared" si="4"/>
        <v>3</v>
      </c>
      <c r="D131" s="29">
        <f t="shared" si="5"/>
        <v>2005</v>
      </c>
      <c r="E131" s="11">
        <v>77.554137493799999</v>
      </c>
      <c r="F131" s="26">
        <v>7449.7</v>
      </c>
      <c r="G131" s="26">
        <v>6404.8</v>
      </c>
      <c r="H131" s="37">
        <v>4376</v>
      </c>
      <c r="I131" s="44">
        <v>1129</v>
      </c>
      <c r="J131" s="16">
        <v>120.4</v>
      </c>
      <c r="K131" s="42">
        <v>128</v>
      </c>
      <c r="L131" s="23">
        <v>58.995500000000007</v>
      </c>
      <c r="M131" s="30">
        <v>78.06</v>
      </c>
      <c r="N131" s="30">
        <v>4.5604761904761899</v>
      </c>
      <c r="O131" s="12">
        <v>662.93238095238087</v>
      </c>
      <c r="P131" s="12">
        <v>676.467619047619</v>
      </c>
      <c r="Q131" s="12">
        <v>2145.1390000000001</v>
      </c>
      <c r="R131" s="12">
        <v>1222.2370000000001</v>
      </c>
      <c r="S131" s="34">
        <v>0.17</v>
      </c>
      <c r="T131" s="42">
        <v>82.7</v>
      </c>
      <c r="U131" s="42">
        <v>83.5</v>
      </c>
      <c r="V131" s="42">
        <v>66.2</v>
      </c>
      <c r="W131" s="42">
        <v>89.3</v>
      </c>
      <c r="X131" s="23">
        <f>[1]ישיר!D120/1000</f>
        <v>7606.4780000000001</v>
      </c>
      <c r="Y131" s="23">
        <v>5072.509</v>
      </c>
      <c r="Z131" s="23">
        <f>[1]עקיף!H120</f>
        <v>1129</v>
      </c>
      <c r="AA131" s="23">
        <f>[1]עקיף!P120</f>
        <v>966</v>
      </c>
      <c r="AB131" s="23">
        <f>[1]עקיף!Q120</f>
        <v>6471</v>
      </c>
      <c r="AF131" s="78"/>
      <c r="AG131" s="78">
        <v>2493.8000000000002</v>
      </c>
      <c r="AH131" s="3">
        <v>27199.325699000001</v>
      </c>
      <c r="AI131" s="4">
        <v>185.7</v>
      </c>
      <c r="AJ131" s="69">
        <v>128</v>
      </c>
      <c r="AK131" s="68">
        <v>77.900000000000006</v>
      </c>
      <c r="AL131" s="74">
        <v>49.990832911184107</v>
      </c>
      <c r="AM131" s="72">
        <v>22872</v>
      </c>
      <c r="AT131" s="67"/>
      <c r="AU131" s="76"/>
      <c r="AV131" s="68"/>
      <c r="AW131" s="68"/>
    </row>
    <row r="132" spans="1:49" ht="16.5" thickBot="1">
      <c r="A132" s="28">
        <v>38565</v>
      </c>
      <c r="B132" s="29">
        <f t="shared" si="3"/>
        <v>8</v>
      </c>
      <c r="C132" s="29">
        <f t="shared" si="4"/>
        <v>3</v>
      </c>
      <c r="D132" s="29">
        <f t="shared" si="5"/>
        <v>2005</v>
      </c>
      <c r="E132" s="11">
        <v>77.705906843099996</v>
      </c>
      <c r="F132" s="26">
        <v>6983.3</v>
      </c>
      <c r="G132" s="26">
        <v>6118</v>
      </c>
      <c r="H132" s="37">
        <v>3850</v>
      </c>
      <c r="I132" s="44">
        <v>1310</v>
      </c>
      <c r="J132" s="16">
        <v>121.2</v>
      </c>
      <c r="K132" s="42">
        <v>128.69999999999999</v>
      </c>
      <c r="L132" s="23">
        <v>64.985217391304346</v>
      </c>
      <c r="M132" s="30">
        <v>77.930000000000007</v>
      </c>
      <c r="N132" s="30">
        <v>4.5092608695652165</v>
      </c>
      <c r="O132" s="12">
        <v>701.19499999999994</v>
      </c>
      <c r="P132" s="12">
        <v>708.78045454545452</v>
      </c>
      <c r="Q132" s="12">
        <v>2157.8482608695658</v>
      </c>
      <c r="R132" s="12">
        <v>1224.2699999999998</v>
      </c>
      <c r="S132" s="34">
        <v>0.17</v>
      </c>
      <c r="T132" s="42">
        <v>82.8</v>
      </c>
      <c r="U132" s="42">
        <v>83</v>
      </c>
      <c r="V132" s="42">
        <v>66.8</v>
      </c>
      <c r="W132" s="42">
        <v>85.2</v>
      </c>
      <c r="X132" s="23">
        <f>[1]ישיר!D121/1000</f>
        <v>7155.26</v>
      </c>
      <c r="Y132" s="23">
        <v>4668.3860000000004</v>
      </c>
      <c r="Z132" s="23">
        <f>[1]עקיף!H121</f>
        <v>1310</v>
      </c>
      <c r="AA132" s="23">
        <f>[1]עקיף!P121</f>
        <v>928</v>
      </c>
      <c r="AB132" s="23">
        <f>[1]עקיף!Q121</f>
        <v>6088</v>
      </c>
      <c r="AF132" s="78"/>
      <c r="AG132" s="78">
        <v>2494</v>
      </c>
      <c r="AH132" s="3">
        <v>27812.722685000001</v>
      </c>
      <c r="AI132" s="4">
        <v>185.4</v>
      </c>
      <c r="AJ132" s="69">
        <v>128.6</v>
      </c>
      <c r="AK132" s="68">
        <v>78.099999999999994</v>
      </c>
      <c r="AL132" s="74">
        <v>49.848180729084582</v>
      </c>
      <c r="AM132" s="72">
        <v>20712</v>
      </c>
      <c r="AT132" s="67"/>
      <c r="AU132" s="76"/>
      <c r="AV132" s="68"/>
      <c r="AW132" s="68"/>
    </row>
    <row r="133" spans="1:49" ht="16.5" thickBot="1">
      <c r="A133" s="28">
        <v>38596</v>
      </c>
      <c r="B133" s="29">
        <f t="shared" si="3"/>
        <v>9</v>
      </c>
      <c r="C133" s="29">
        <f t="shared" si="4"/>
        <v>3</v>
      </c>
      <c r="D133" s="29">
        <f t="shared" si="5"/>
        <v>2005</v>
      </c>
      <c r="E133" s="11">
        <v>77.7817915177</v>
      </c>
      <c r="F133" s="26">
        <v>7779</v>
      </c>
      <c r="G133" s="26">
        <v>6477</v>
      </c>
      <c r="H133" s="37">
        <v>4393</v>
      </c>
      <c r="I133" s="44">
        <v>973</v>
      </c>
      <c r="J133" s="16">
        <v>118.4</v>
      </c>
      <c r="K133" s="42">
        <v>126.7</v>
      </c>
      <c r="L133" s="23">
        <v>65.586666666666673</v>
      </c>
      <c r="M133" s="30">
        <v>77.8</v>
      </c>
      <c r="N133" s="30">
        <v>4.5383636363636359</v>
      </c>
      <c r="O133" s="12">
        <v>731.30476190476202</v>
      </c>
      <c r="P133" s="12">
        <v>736.79333333333329</v>
      </c>
      <c r="Q133" s="12">
        <v>2144.611904761905</v>
      </c>
      <c r="R133" s="12">
        <v>1225.9147619047621</v>
      </c>
      <c r="S133" s="45">
        <v>0.16500000000000001</v>
      </c>
      <c r="T133" s="42">
        <v>84.7</v>
      </c>
      <c r="U133" s="42">
        <v>82.5</v>
      </c>
      <c r="V133" s="42">
        <v>63.8</v>
      </c>
      <c r="W133" s="42">
        <v>83.8</v>
      </c>
      <c r="X133" s="23">
        <f>[1]ישיר!D122/1000</f>
        <v>7709.5259999999998</v>
      </c>
      <c r="Y133" s="23">
        <v>4776.915</v>
      </c>
      <c r="Z133" s="23">
        <f>[1]עקיף!H122</f>
        <v>973</v>
      </c>
      <c r="AA133" s="23">
        <f>[1]עקיף!P122</f>
        <v>955</v>
      </c>
      <c r="AB133" s="23">
        <f>[1]עקיף!Q122</f>
        <v>6321</v>
      </c>
      <c r="AF133" s="78"/>
      <c r="AG133" s="78">
        <v>2506.9</v>
      </c>
      <c r="AH133" s="3">
        <v>27635.320237</v>
      </c>
      <c r="AI133" s="4">
        <v>187.1</v>
      </c>
      <c r="AJ133" s="69">
        <v>126.6</v>
      </c>
      <c r="AK133" s="68">
        <v>78.599999999999994</v>
      </c>
      <c r="AL133" s="74">
        <v>50.064963545107148</v>
      </c>
      <c r="AM133" s="72">
        <v>20580</v>
      </c>
      <c r="AT133" s="67"/>
      <c r="AU133" s="76"/>
      <c r="AV133" s="68"/>
      <c r="AW133" s="68"/>
    </row>
    <row r="134" spans="1:49" ht="16.5" thickBot="1">
      <c r="A134" s="28">
        <v>38626</v>
      </c>
      <c r="B134" s="29">
        <f t="shared" ref="B134:B197" si="6">MONTH(A134)</f>
        <v>10</v>
      </c>
      <c r="C134" s="29">
        <f t="shared" ref="C134:C197" si="7">ROUNDUP(B134/3,0)</f>
        <v>4</v>
      </c>
      <c r="D134" s="29">
        <f t="shared" ref="D134:D197" si="8">YEAR(A134)</f>
        <v>2005</v>
      </c>
      <c r="E134" s="11">
        <v>78.388868914900002</v>
      </c>
      <c r="F134" s="26">
        <v>7077</v>
      </c>
      <c r="G134" s="26">
        <v>5338</v>
      </c>
      <c r="H134" s="37">
        <v>3842</v>
      </c>
      <c r="I134" s="44">
        <v>787</v>
      </c>
      <c r="J134" s="16">
        <v>123.7</v>
      </c>
      <c r="K134" s="42">
        <v>132.69999999999999</v>
      </c>
      <c r="L134" s="23">
        <v>62.259999999999977</v>
      </c>
      <c r="M134" s="30">
        <v>76.83</v>
      </c>
      <c r="N134" s="30">
        <v>4.6255000000000006</v>
      </c>
      <c r="O134" s="12">
        <v>756.39999999999986</v>
      </c>
      <c r="P134" s="12">
        <v>757.13153846153841</v>
      </c>
      <c r="Q134" s="12">
        <v>2087.0928571428572</v>
      </c>
      <c r="R134" s="12">
        <v>1191.9642857142858</v>
      </c>
      <c r="S134" s="34">
        <v>0.16500000000000001</v>
      </c>
      <c r="T134" s="42">
        <v>83.6</v>
      </c>
      <c r="U134" s="42">
        <v>84.4</v>
      </c>
      <c r="V134" s="42">
        <v>66.599999999999994</v>
      </c>
      <c r="W134" s="42">
        <v>85.8</v>
      </c>
      <c r="X134" s="23">
        <f>[1]ישיר!D123/1000</f>
        <v>7201.4859999999999</v>
      </c>
      <c r="Y134" s="23">
        <v>4598.1030000000001</v>
      </c>
      <c r="Z134" s="23">
        <f>[1]עקיף!H123</f>
        <v>787</v>
      </c>
      <c r="AA134" s="23">
        <f>[1]עקיף!P123</f>
        <v>938</v>
      </c>
      <c r="AB134" s="23">
        <f>[1]עקיף!Q123</f>
        <v>5567</v>
      </c>
      <c r="AF134" s="78"/>
      <c r="AG134" s="78">
        <v>2485.6</v>
      </c>
      <c r="AH134" s="3">
        <v>28715.968971999999</v>
      </c>
      <c r="AI134" s="4">
        <v>189</v>
      </c>
      <c r="AJ134" s="69">
        <v>132.69999999999999</v>
      </c>
      <c r="AK134" s="68">
        <v>77.099999999999994</v>
      </c>
      <c r="AL134" s="74">
        <v>50.749618444426261</v>
      </c>
      <c r="AM134" s="72">
        <v>22104</v>
      </c>
      <c r="AT134" s="67"/>
      <c r="AU134" s="76"/>
      <c r="AV134" s="68"/>
      <c r="AW134" s="68"/>
    </row>
    <row r="135" spans="1:49" ht="16.5" thickBot="1">
      <c r="A135" s="28">
        <v>38657</v>
      </c>
      <c r="B135" s="29">
        <f t="shared" si="6"/>
        <v>11</v>
      </c>
      <c r="C135" s="29">
        <f t="shared" si="7"/>
        <v>4</v>
      </c>
      <c r="D135" s="29">
        <f t="shared" si="8"/>
        <v>2005</v>
      </c>
      <c r="E135" s="11">
        <v>78.312984240299997</v>
      </c>
      <c r="F135" s="26">
        <v>7319</v>
      </c>
      <c r="G135" s="26">
        <v>5808</v>
      </c>
      <c r="H135" s="37">
        <v>3752</v>
      </c>
      <c r="I135" s="44">
        <v>1076</v>
      </c>
      <c r="J135" s="16">
        <v>124.3</v>
      </c>
      <c r="K135" s="42">
        <v>132.1</v>
      </c>
      <c r="L135" s="23">
        <v>58.322499999999991</v>
      </c>
      <c r="M135" s="30">
        <v>76.709999999999994</v>
      </c>
      <c r="N135" s="30">
        <v>4.6997727272727268</v>
      </c>
      <c r="O135" s="12">
        <v>762.9799999999999</v>
      </c>
      <c r="P135" s="12">
        <v>771.51409090909101</v>
      </c>
      <c r="Q135" s="12">
        <v>2202.8357142857144</v>
      </c>
      <c r="R135" s="12">
        <v>1237.3685714285714</v>
      </c>
      <c r="S135" s="34">
        <v>0.16500000000000001</v>
      </c>
      <c r="T135" s="42">
        <v>83.5</v>
      </c>
      <c r="U135" s="42">
        <v>84.1</v>
      </c>
      <c r="V135" s="42">
        <v>65.8</v>
      </c>
      <c r="W135" s="42">
        <v>82.7</v>
      </c>
      <c r="X135" s="23">
        <f>[1]ישיר!D124/1000</f>
        <v>7572.549</v>
      </c>
      <c r="Y135" s="23">
        <v>4687.442</v>
      </c>
      <c r="Z135" s="23">
        <f>[1]עקיף!H124</f>
        <v>1076</v>
      </c>
      <c r="AA135" s="23">
        <f>[1]עקיף!P124</f>
        <v>894</v>
      </c>
      <c r="AB135" s="23">
        <f>[1]עקיף!Q124</f>
        <v>5722</v>
      </c>
      <c r="AF135" s="78"/>
      <c r="AG135" s="78">
        <v>2518.1</v>
      </c>
      <c r="AH135" s="3">
        <v>28310.255395</v>
      </c>
      <c r="AI135" s="4">
        <v>187.3</v>
      </c>
      <c r="AJ135" s="69">
        <v>132.1</v>
      </c>
      <c r="AK135" s="68">
        <v>80.400000000000006</v>
      </c>
      <c r="AL135" s="74">
        <v>51.341784789557487</v>
      </c>
      <c r="AM135" s="72">
        <v>23088</v>
      </c>
      <c r="AT135" s="67"/>
      <c r="AU135" s="76"/>
      <c r="AV135" s="68"/>
      <c r="AW135" s="68"/>
    </row>
    <row r="136" spans="1:49" ht="16.5" thickBot="1">
      <c r="A136" s="28">
        <v>38687</v>
      </c>
      <c r="B136" s="29">
        <f t="shared" si="6"/>
        <v>12</v>
      </c>
      <c r="C136" s="29">
        <f t="shared" si="7"/>
        <v>4</v>
      </c>
      <c r="D136" s="29">
        <f t="shared" si="8"/>
        <v>2005</v>
      </c>
      <c r="E136" s="11">
        <v>78.161214891</v>
      </c>
      <c r="F136" s="26">
        <v>6491</v>
      </c>
      <c r="G136" s="26">
        <v>5509</v>
      </c>
      <c r="H136" s="37">
        <v>3279</v>
      </c>
      <c r="I136" s="44">
        <v>1206</v>
      </c>
      <c r="J136" s="16">
        <v>118.2</v>
      </c>
      <c r="K136" s="42">
        <v>133.6</v>
      </c>
      <c r="L136" s="23">
        <v>59.411904761904758</v>
      </c>
      <c r="M136" s="30">
        <v>76.41</v>
      </c>
      <c r="N136" s="30">
        <v>4.6117142857142843</v>
      </c>
      <c r="O136" s="12">
        <v>808.93333333333328</v>
      </c>
      <c r="P136" s="12">
        <v>813.74904761904759</v>
      </c>
      <c r="Q136" s="12">
        <v>2246.0871428571427</v>
      </c>
      <c r="R136" s="12">
        <v>1262.0719047619048</v>
      </c>
      <c r="S136" s="34">
        <v>0.16500000000000001</v>
      </c>
      <c r="T136" s="42">
        <v>86.1</v>
      </c>
      <c r="U136" s="42">
        <v>85</v>
      </c>
      <c r="V136" s="42">
        <v>64.900000000000006</v>
      </c>
      <c r="W136" s="42">
        <v>86.1</v>
      </c>
      <c r="X136" s="23">
        <f>[1]ישיר!D125/1000</f>
        <v>5940.26</v>
      </c>
      <c r="Y136" s="23">
        <v>4604.4059999999999</v>
      </c>
      <c r="Z136" s="23">
        <f>[1]עקיף!H125</f>
        <v>1206</v>
      </c>
      <c r="AA136" s="23">
        <f>[1]עקיף!P125</f>
        <v>969</v>
      </c>
      <c r="AB136" s="23">
        <f>[1]עקיף!Q125</f>
        <v>5454</v>
      </c>
      <c r="AF136" s="78"/>
      <c r="AG136" s="78">
        <v>2527.9</v>
      </c>
      <c r="AH136" s="3">
        <v>28060.538402999999</v>
      </c>
      <c r="AI136" s="4">
        <v>186.7</v>
      </c>
      <c r="AJ136" s="69">
        <v>133.6</v>
      </c>
      <c r="AK136" s="68">
        <v>80.5</v>
      </c>
      <c r="AL136" s="74">
        <v>51.903553974704089</v>
      </c>
      <c r="AM136" s="72">
        <v>19512</v>
      </c>
      <c r="AT136" s="67"/>
      <c r="AU136" s="76"/>
      <c r="AV136" s="68"/>
      <c r="AW136" s="68"/>
    </row>
    <row r="137" spans="1:49" ht="16.5" thickBot="1">
      <c r="A137" s="28">
        <v>38718</v>
      </c>
      <c r="B137" s="29">
        <f t="shared" si="6"/>
        <v>1</v>
      </c>
      <c r="C137" s="29">
        <f t="shared" si="7"/>
        <v>1</v>
      </c>
      <c r="D137" s="29">
        <f t="shared" si="8"/>
        <v>2006</v>
      </c>
      <c r="E137" s="11">
        <v>77.933560866999997</v>
      </c>
      <c r="F137" s="26">
        <v>9145.9</v>
      </c>
      <c r="G137" s="26">
        <v>6709.8</v>
      </c>
      <c r="H137" s="37">
        <v>4914</v>
      </c>
      <c r="I137" s="44">
        <v>1303</v>
      </c>
      <c r="J137" s="16">
        <v>121.3</v>
      </c>
      <c r="K137" s="42">
        <v>132.30000000000001</v>
      </c>
      <c r="L137" s="23">
        <v>65.484999999999985</v>
      </c>
      <c r="M137" s="30">
        <v>77.37</v>
      </c>
      <c r="N137" s="30">
        <v>4.6188095238095244</v>
      </c>
      <c r="O137" s="12">
        <v>833.67304347826064</v>
      </c>
      <c r="P137" s="12">
        <v>848.44739130434766</v>
      </c>
      <c r="Q137" s="12">
        <v>2289.9915000000005</v>
      </c>
      <c r="R137" s="12">
        <v>1278.7275000000002</v>
      </c>
      <c r="S137" s="34">
        <v>0.16500000000000001</v>
      </c>
      <c r="T137" s="42">
        <v>86.1</v>
      </c>
      <c r="U137" s="42">
        <v>85.9</v>
      </c>
      <c r="V137" s="42">
        <v>67.3</v>
      </c>
      <c r="W137" s="42">
        <v>88.5</v>
      </c>
      <c r="X137" s="23">
        <f>[1]ישיר!D126/1000</f>
        <v>9976.1290000000008</v>
      </c>
      <c r="Y137" s="23">
        <v>6342.02</v>
      </c>
      <c r="Z137" s="23">
        <f>[1]עקיף!H126</f>
        <v>1303</v>
      </c>
      <c r="AA137" s="23">
        <f>[1]עקיף!P126</f>
        <v>867</v>
      </c>
      <c r="AB137" s="23">
        <f>[1]עקיף!Q126</f>
        <v>7084</v>
      </c>
      <c r="AF137" s="78"/>
      <c r="AG137" s="78">
        <v>2540.6999999999998</v>
      </c>
      <c r="AH137" s="3">
        <v>28300.335084999999</v>
      </c>
      <c r="AI137" s="4">
        <v>188.2</v>
      </c>
      <c r="AJ137" s="69">
        <v>132.19999999999999</v>
      </c>
      <c r="AK137" s="68">
        <v>79.099999999999994</v>
      </c>
      <c r="AL137" s="74">
        <v>52.224624194098013</v>
      </c>
      <c r="AM137" s="72">
        <v>19872</v>
      </c>
      <c r="AT137" s="67"/>
      <c r="AU137" s="76"/>
      <c r="AV137" s="68"/>
      <c r="AW137" s="68"/>
    </row>
    <row r="138" spans="1:49" ht="16.5" thickBot="1">
      <c r="A138" s="28">
        <v>38749</v>
      </c>
      <c r="B138" s="29">
        <f t="shared" si="6"/>
        <v>2</v>
      </c>
      <c r="C138" s="29">
        <f t="shared" si="7"/>
        <v>1</v>
      </c>
      <c r="D138" s="29">
        <f t="shared" si="8"/>
        <v>2006</v>
      </c>
      <c r="E138" s="11">
        <v>78.388868914900002</v>
      </c>
      <c r="F138" s="26">
        <v>8863.7000000000007</v>
      </c>
      <c r="G138" s="26">
        <v>5437.4</v>
      </c>
      <c r="H138" s="37">
        <v>3666</v>
      </c>
      <c r="I138" s="44">
        <v>937</v>
      </c>
      <c r="J138" s="16">
        <v>123.8</v>
      </c>
      <c r="K138" s="42">
        <v>135.80000000000001</v>
      </c>
      <c r="L138" s="23">
        <v>61.631052631578939</v>
      </c>
      <c r="M138" s="30">
        <v>75.77</v>
      </c>
      <c r="N138" s="30">
        <v>4.7031499999999991</v>
      </c>
      <c r="O138" s="12">
        <v>803.09800000000007</v>
      </c>
      <c r="P138" s="12">
        <v>824.39</v>
      </c>
      <c r="Q138" s="12">
        <v>2273.6663157894741</v>
      </c>
      <c r="R138" s="12">
        <v>1276.6452631578948</v>
      </c>
      <c r="S138" s="34">
        <v>0.16500000000000001</v>
      </c>
      <c r="T138" s="42">
        <v>86</v>
      </c>
      <c r="U138" s="42">
        <v>85.5</v>
      </c>
      <c r="V138" s="42">
        <v>67.099999999999994</v>
      </c>
      <c r="W138" s="42">
        <v>87.4</v>
      </c>
      <c r="X138" s="23">
        <f>[1]ישיר!D127/1000</f>
        <v>8916.3320000000003</v>
      </c>
      <c r="Y138" s="23">
        <v>5071.5240000000003</v>
      </c>
      <c r="Z138" s="23">
        <f>[1]עקיף!H127</f>
        <v>937</v>
      </c>
      <c r="AA138" s="23">
        <f>[1]עקיף!P127</f>
        <v>814</v>
      </c>
      <c r="AB138" s="23">
        <f>[1]עקיף!Q127</f>
        <v>5417</v>
      </c>
      <c r="AF138" s="78"/>
      <c r="AG138" s="78">
        <v>2557.6999999999998</v>
      </c>
      <c r="AH138" s="3">
        <v>28207.131875999999</v>
      </c>
      <c r="AI138" s="4">
        <v>189.2</v>
      </c>
      <c r="AJ138" s="69">
        <v>135.80000000000001</v>
      </c>
      <c r="AK138" s="68">
        <v>80.5</v>
      </c>
      <c r="AL138" s="74">
        <v>52.457445357338436</v>
      </c>
      <c r="AM138" s="72">
        <v>22704</v>
      </c>
      <c r="AT138" s="67"/>
      <c r="AU138" s="76"/>
      <c r="AV138" s="68"/>
      <c r="AW138" s="68"/>
    </row>
    <row r="139" spans="1:49" ht="16.5" thickBot="1">
      <c r="A139" s="28">
        <v>38777</v>
      </c>
      <c r="B139" s="29">
        <f t="shared" si="6"/>
        <v>3</v>
      </c>
      <c r="C139" s="29">
        <f t="shared" si="7"/>
        <v>1</v>
      </c>
      <c r="D139" s="29">
        <f t="shared" si="8"/>
        <v>2006</v>
      </c>
      <c r="E139" s="11">
        <v>78.616522938900005</v>
      </c>
      <c r="F139" s="26">
        <v>8539.1</v>
      </c>
      <c r="G139" s="26">
        <v>6130.1</v>
      </c>
      <c r="H139" s="37">
        <v>4152</v>
      </c>
      <c r="I139" s="44">
        <v>871</v>
      </c>
      <c r="J139" s="16">
        <v>124.5</v>
      </c>
      <c r="K139" s="42">
        <v>136.5</v>
      </c>
      <c r="L139" s="23">
        <v>62.685217391304356</v>
      </c>
      <c r="M139" s="30">
        <v>75.03</v>
      </c>
      <c r="N139" s="30">
        <v>4.6891000000000007</v>
      </c>
      <c r="O139" s="12">
        <v>825.17250000000001</v>
      </c>
      <c r="P139" s="12">
        <v>847.80049999999994</v>
      </c>
      <c r="Q139" s="12">
        <v>2300.2556521739134</v>
      </c>
      <c r="R139" s="12">
        <v>1293.7347826086959</v>
      </c>
      <c r="S139" s="34">
        <v>0.16500000000000001</v>
      </c>
      <c r="T139" s="42">
        <v>86.2</v>
      </c>
      <c r="U139" s="42">
        <v>84.6</v>
      </c>
      <c r="V139" s="42">
        <v>66.3</v>
      </c>
      <c r="W139" s="42">
        <v>86.9</v>
      </c>
      <c r="X139" s="23">
        <f>[1]ישיר!D128/1000</f>
        <v>8655.1419999999998</v>
      </c>
      <c r="Y139" s="23">
        <v>5225.8689999999997</v>
      </c>
      <c r="Z139" s="23">
        <f>[1]עקיף!H128</f>
        <v>871</v>
      </c>
      <c r="AA139" s="23">
        <f>[1]עקיף!P128</f>
        <v>912</v>
      </c>
      <c r="AB139" s="23">
        <f>[1]עקיף!Q128</f>
        <v>5935</v>
      </c>
      <c r="AF139" s="78"/>
      <c r="AG139" s="78">
        <v>2569.4</v>
      </c>
      <c r="AH139" s="3">
        <v>28048.257594999999</v>
      </c>
      <c r="AI139" s="4">
        <v>190.1</v>
      </c>
      <c r="AJ139" s="69">
        <v>136.5</v>
      </c>
      <c r="AK139" s="68">
        <v>79.400000000000006</v>
      </c>
      <c r="AL139" s="74">
        <v>52.690230634885403</v>
      </c>
      <c r="AM139" s="72">
        <v>21720</v>
      </c>
      <c r="AT139" s="67"/>
      <c r="AU139" s="76"/>
      <c r="AV139" s="68"/>
      <c r="AW139" s="68"/>
    </row>
    <row r="140" spans="1:49" ht="16.5" thickBot="1">
      <c r="A140" s="28">
        <v>38808</v>
      </c>
      <c r="B140" s="29">
        <f t="shared" si="6"/>
        <v>4</v>
      </c>
      <c r="C140" s="29">
        <f t="shared" si="7"/>
        <v>2</v>
      </c>
      <c r="D140" s="29">
        <f t="shared" si="8"/>
        <v>2006</v>
      </c>
      <c r="E140" s="11">
        <v>79.299485010799998</v>
      </c>
      <c r="F140" s="26">
        <v>9180.7000000000007</v>
      </c>
      <c r="G140" s="26">
        <v>6094.5</v>
      </c>
      <c r="H140" s="37">
        <v>4292</v>
      </c>
      <c r="I140" s="44">
        <v>899</v>
      </c>
      <c r="J140" s="16">
        <v>127.5</v>
      </c>
      <c r="K140" s="42">
        <v>138.5</v>
      </c>
      <c r="L140" s="23">
        <v>69.443684210526314</v>
      </c>
      <c r="M140" s="30">
        <v>75.099999999999994</v>
      </c>
      <c r="N140" s="30">
        <v>4.5797333333333343</v>
      </c>
      <c r="O140" s="12">
        <v>845.62470588235306</v>
      </c>
      <c r="P140" s="12">
        <v>867.68882352941171</v>
      </c>
      <c r="Q140" s="12">
        <v>2338.6773684210525</v>
      </c>
      <c r="R140" s="12">
        <v>1302.165263157895</v>
      </c>
      <c r="S140" s="34">
        <v>0.16500000000000001</v>
      </c>
      <c r="T140" s="42">
        <v>86.5</v>
      </c>
      <c r="U140" s="42">
        <v>85.2</v>
      </c>
      <c r="V140" s="42">
        <v>68.2</v>
      </c>
      <c r="W140" s="42">
        <v>87.5</v>
      </c>
      <c r="X140" s="23">
        <f>[1]ישיר!D129/1000</f>
        <v>9007.9670000000006</v>
      </c>
      <c r="Y140" s="23">
        <v>4913.8729999999996</v>
      </c>
      <c r="Z140" s="23">
        <f>[1]עקיף!H129</f>
        <v>899</v>
      </c>
      <c r="AA140" s="23">
        <f>[1]עקיף!P129</f>
        <v>862</v>
      </c>
      <c r="AB140" s="23">
        <f>[1]עקיף!Q129</f>
        <v>6053</v>
      </c>
      <c r="AF140" s="78"/>
      <c r="AG140" s="78">
        <v>2568.6999999999998</v>
      </c>
      <c r="AH140" s="3">
        <v>27988.826430000001</v>
      </c>
      <c r="AI140" s="4">
        <v>187.2</v>
      </c>
      <c r="AJ140" s="69">
        <v>138.5</v>
      </c>
      <c r="AK140" s="68">
        <v>80</v>
      </c>
      <c r="AL140" s="74">
        <v>53.004027558662955</v>
      </c>
      <c r="AM140" s="72">
        <v>21708</v>
      </c>
      <c r="AT140" s="67"/>
      <c r="AU140" s="76"/>
      <c r="AV140" s="68"/>
      <c r="AW140" s="68"/>
    </row>
    <row r="141" spans="1:49" ht="16.5" thickBot="1">
      <c r="A141" s="28">
        <v>38838</v>
      </c>
      <c r="B141" s="29">
        <f t="shared" si="6"/>
        <v>5</v>
      </c>
      <c r="C141" s="29">
        <f t="shared" si="7"/>
        <v>2</v>
      </c>
      <c r="D141" s="29">
        <f t="shared" si="8"/>
        <v>2006</v>
      </c>
      <c r="E141" s="11">
        <v>79.299485010799998</v>
      </c>
      <c r="F141" s="26">
        <v>8359.7999999999993</v>
      </c>
      <c r="G141" s="26">
        <v>6637.9</v>
      </c>
      <c r="H141" s="37">
        <v>4267</v>
      </c>
      <c r="I141" s="44">
        <v>1361</v>
      </c>
      <c r="J141" s="16">
        <v>127.2</v>
      </c>
      <c r="K141" s="42">
        <v>137.1</v>
      </c>
      <c r="L141" s="23">
        <v>70.844090909090909</v>
      </c>
      <c r="M141" s="30">
        <v>76.36</v>
      </c>
      <c r="N141" s="30">
        <v>4.4740000000000002</v>
      </c>
      <c r="O141" s="12">
        <v>877.91428571428594</v>
      </c>
      <c r="P141" s="12">
        <v>895.0447619047618</v>
      </c>
      <c r="Q141" s="12">
        <v>2245.2818181818179</v>
      </c>
      <c r="R141" s="12">
        <v>1290.0136363636366</v>
      </c>
      <c r="S141" s="34">
        <v>0.16500000000000001</v>
      </c>
      <c r="T141" s="42">
        <v>86.8</v>
      </c>
      <c r="U141" s="42">
        <v>85.3</v>
      </c>
      <c r="V141" s="42">
        <v>67.400000000000006</v>
      </c>
      <c r="W141" s="42">
        <v>88.2</v>
      </c>
      <c r="X141" s="23">
        <f>[1]ישיר!D130/1000</f>
        <v>3138.7539999999999</v>
      </c>
      <c r="Y141" s="23">
        <v>0</v>
      </c>
      <c r="Z141" s="23">
        <f>[1]עקיף!H130</f>
        <v>1361</v>
      </c>
      <c r="AA141" s="23">
        <f>[1]עקיף!P130</f>
        <v>889</v>
      </c>
      <c r="AB141" s="23">
        <f>[1]עקיף!Q130</f>
        <v>6517</v>
      </c>
      <c r="AF141" s="78"/>
      <c r="AG141" s="78">
        <v>2586.4</v>
      </c>
      <c r="AH141" s="3">
        <v>28229.902505999999</v>
      </c>
      <c r="AI141" s="4">
        <v>185.4</v>
      </c>
      <c r="AJ141" s="69">
        <v>137</v>
      </c>
      <c r="AK141" s="68">
        <v>82.3</v>
      </c>
      <c r="AL141" s="74">
        <v>53.23194107730648</v>
      </c>
      <c r="AM141" s="72">
        <v>17640</v>
      </c>
      <c r="AT141" s="67"/>
      <c r="AU141" s="76"/>
      <c r="AV141" s="68"/>
      <c r="AW141" s="68"/>
    </row>
    <row r="142" spans="1:49" ht="16.5" thickBot="1">
      <c r="A142" s="28">
        <v>38869</v>
      </c>
      <c r="B142" s="29">
        <f t="shared" si="6"/>
        <v>6</v>
      </c>
      <c r="C142" s="29">
        <f t="shared" si="7"/>
        <v>2</v>
      </c>
      <c r="D142" s="29">
        <f t="shared" si="8"/>
        <v>2006</v>
      </c>
      <c r="E142" s="11">
        <v>79.375369685400003</v>
      </c>
      <c r="F142" s="26">
        <v>7214.7</v>
      </c>
      <c r="G142" s="26">
        <v>5470.2</v>
      </c>
      <c r="H142" s="37">
        <v>3387</v>
      </c>
      <c r="I142" s="44">
        <v>1024</v>
      </c>
      <c r="J142" s="16">
        <v>127.9</v>
      </c>
      <c r="K142" s="42">
        <v>139.9</v>
      </c>
      <c r="L142" s="23">
        <v>70.950909090909107</v>
      </c>
      <c r="M142" s="30">
        <v>76.33</v>
      </c>
      <c r="N142" s="30">
        <v>4.4723333333333333</v>
      </c>
      <c r="O142" s="12">
        <v>817.20799999999986</v>
      </c>
      <c r="P142" s="12">
        <v>829.55899999999986</v>
      </c>
      <c r="Q142" s="12">
        <v>2137.4136363636367</v>
      </c>
      <c r="R142" s="12">
        <v>1253.1681818181819</v>
      </c>
      <c r="S142" s="34">
        <v>0.16500000000000001</v>
      </c>
      <c r="T142" s="42">
        <v>88.1</v>
      </c>
      <c r="U142" s="42">
        <v>85.5</v>
      </c>
      <c r="V142" s="42">
        <v>66.7</v>
      </c>
      <c r="W142" s="42">
        <v>88.4</v>
      </c>
      <c r="X142" s="23">
        <f>[1]ישיר!D131/1000</f>
        <v>7083.9030000000002</v>
      </c>
      <c r="Y142" s="23">
        <v>4502.7929999999997</v>
      </c>
      <c r="Z142" s="23">
        <f>[1]עקיף!H131</f>
        <v>1024</v>
      </c>
      <c r="AA142" s="23">
        <f>[1]עקיף!P131</f>
        <v>944</v>
      </c>
      <c r="AB142" s="23">
        <f>[1]עקיף!Q131</f>
        <v>5355</v>
      </c>
      <c r="AF142" s="78"/>
      <c r="AG142" s="78">
        <v>2594.1999999999998</v>
      </c>
      <c r="AH142" s="3">
        <v>27501.895685</v>
      </c>
      <c r="AI142" s="4">
        <v>185.4</v>
      </c>
      <c r="AJ142" s="69">
        <v>139.9</v>
      </c>
      <c r="AK142" s="68">
        <v>83.7</v>
      </c>
      <c r="AL142" s="74">
        <v>53.31845554818112</v>
      </c>
      <c r="AM142" s="72">
        <v>18120</v>
      </c>
      <c r="AT142" s="67"/>
      <c r="AU142" s="76"/>
      <c r="AV142" s="68"/>
      <c r="AW142" s="68"/>
    </row>
    <row r="143" spans="1:49" ht="16.5" thickBot="1">
      <c r="A143" s="28">
        <v>38899</v>
      </c>
      <c r="B143" s="29">
        <f t="shared" si="6"/>
        <v>7</v>
      </c>
      <c r="C143" s="29">
        <f t="shared" si="7"/>
        <v>3</v>
      </c>
      <c r="D143" s="29">
        <f t="shared" si="8"/>
        <v>2006</v>
      </c>
      <c r="E143" s="11">
        <v>79.451254360099995</v>
      </c>
      <c r="F143" s="26">
        <v>8073.1</v>
      </c>
      <c r="G143" s="26">
        <v>6636.8</v>
      </c>
      <c r="H143" s="37">
        <v>4499</v>
      </c>
      <c r="I143" s="44">
        <v>1235</v>
      </c>
      <c r="J143" s="16">
        <v>129</v>
      </c>
      <c r="K143" s="42">
        <v>135.5</v>
      </c>
      <c r="L143" s="23">
        <v>74.41105263157894</v>
      </c>
      <c r="M143" s="30">
        <v>77.23</v>
      </c>
      <c r="N143" s="30">
        <v>4.4328095238095226</v>
      </c>
      <c r="O143" s="12">
        <v>792.03227272727281</v>
      </c>
      <c r="P143" s="12">
        <v>807.33636363636367</v>
      </c>
      <c r="Q143" s="12">
        <v>2086.2075</v>
      </c>
      <c r="R143" s="12">
        <v>1260.2345000000003</v>
      </c>
      <c r="S143" s="45">
        <v>0.155</v>
      </c>
      <c r="T143" s="42">
        <v>87.4</v>
      </c>
      <c r="U143" s="42">
        <v>84.5</v>
      </c>
      <c r="V143" s="42">
        <v>64.2</v>
      </c>
      <c r="W143" s="42">
        <v>84.7</v>
      </c>
      <c r="X143" s="23">
        <f>[1]ישיר!D132/1000</f>
        <v>8311.0869999999995</v>
      </c>
      <c r="Y143" s="23">
        <v>5270.5</v>
      </c>
      <c r="Z143" s="23">
        <f>[1]עקיף!H132</f>
        <v>1235</v>
      </c>
      <c r="AA143" s="23">
        <f>[1]עקיף!P132</f>
        <v>978</v>
      </c>
      <c r="AB143" s="23">
        <f>[1]עקיף!Q132</f>
        <v>6712</v>
      </c>
      <c r="AF143" s="78"/>
      <c r="AG143" s="78">
        <v>2589.1999999999998</v>
      </c>
      <c r="AH143" s="3">
        <v>28137.116585</v>
      </c>
      <c r="AI143" s="4">
        <v>186.2</v>
      </c>
      <c r="AJ143" s="69">
        <v>135.5</v>
      </c>
      <c r="AK143" s="68">
        <v>82</v>
      </c>
      <c r="AL143" s="74">
        <v>53.059073186078621</v>
      </c>
      <c r="AM143" s="72">
        <v>16068</v>
      </c>
      <c r="AT143" s="67"/>
      <c r="AU143" s="76"/>
      <c r="AV143" s="68"/>
      <c r="AW143" s="68"/>
    </row>
    <row r="144" spans="1:49" ht="16.5" thickBot="1">
      <c r="A144" s="28">
        <v>38930</v>
      </c>
      <c r="B144" s="29">
        <f t="shared" si="6"/>
        <v>8</v>
      </c>
      <c r="C144" s="29">
        <f t="shared" si="7"/>
        <v>3</v>
      </c>
      <c r="D144" s="29">
        <f t="shared" si="8"/>
        <v>2006</v>
      </c>
      <c r="E144" s="11">
        <v>79.451254360099995</v>
      </c>
      <c r="F144" s="36">
        <v>11052</v>
      </c>
      <c r="G144" s="26">
        <v>5663</v>
      </c>
      <c r="H144" s="37">
        <v>3606</v>
      </c>
      <c r="I144" s="44">
        <v>1153</v>
      </c>
      <c r="J144" s="16">
        <v>130.1</v>
      </c>
      <c r="K144" s="42">
        <v>140.69999999999999</v>
      </c>
      <c r="L144" s="23">
        <v>73.043043478260884</v>
      </c>
      <c r="M144" s="30">
        <v>77.81</v>
      </c>
      <c r="N144" s="30">
        <v>4.3793181818181823</v>
      </c>
      <c r="O144" s="12">
        <v>804.28499999999997</v>
      </c>
      <c r="P144" s="12">
        <v>820.88363636363636</v>
      </c>
      <c r="Q144" s="12">
        <v>2117.7708695652177</v>
      </c>
      <c r="R144" s="12">
        <v>1287.1495652173912</v>
      </c>
      <c r="S144" s="34">
        <v>0.155</v>
      </c>
      <c r="T144" s="42">
        <v>88.6</v>
      </c>
      <c r="U144" s="42">
        <v>85.4</v>
      </c>
      <c r="V144" s="42">
        <v>66.900000000000006</v>
      </c>
      <c r="W144" s="42">
        <v>84.8</v>
      </c>
      <c r="X144" s="23">
        <f>[1]ישיר!D133/1000</f>
        <v>10940.593000000001</v>
      </c>
      <c r="Y144" s="23">
        <v>4580.1840000000002</v>
      </c>
      <c r="Z144" s="23">
        <f>[1]עקיף!H133</f>
        <v>1153</v>
      </c>
      <c r="AA144" s="23">
        <f>[1]עקיף!P133</f>
        <v>934</v>
      </c>
      <c r="AB144" s="23">
        <f>[1]עקיף!Q133</f>
        <v>5693</v>
      </c>
      <c r="AF144" s="78"/>
      <c r="AG144" s="78">
        <v>2601</v>
      </c>
      <c r="AH144" s="3">
        <v>28103.976578999998</v>
      </c>
      <c r="AI144" s="4">
        <v>186.5</v>
      </c>
      <c r="AJ144" s="69">
        <v>140.69999999999999</v>
      </c>
      <c r="AK144" s="68">
        <v>84.7</v>
      </c>
      <c r="AL144" s="74">
        <v>53.28565355128103</v>
      </c>
      <c r="AM144" s="72">
        <v>16392</v>
      </c>
      <c r="AT144" s="67"/>
      <c r="AU144" s="76"/>
      <c r="AV144" s="68"/>
      <c r="AW144" s="68"/>
    </row>
    <row r="145" spans="1:49" ht="16.5" thickBot="1">
      <c r="A145" s="28">
        <v>38961</v>
      </c>
      <c r="B145" s="29">
        <f t="shared" si="6"/>
        <v>9</v>
      </c>
      <c r="C145" s="29">
        <f t="shared" si="7"/>
        <v>3</v>
      </c>
      <c r="D145" s="29">
        <f t="shared" si="8"/>
        <v>2006</v>
      </c>
      <c r="E145" s="11">
        <v>78.768292288200001</v>
      </c>
      <c r="F145" s="36">
        <v>7936</v>
      </c>
      <c r="G145" s="26">
        <v>6081</v>
      </c>
      <c r="H145" s="37">
        <v>4073</v>
      </c>
      <c r="I145" s="44">
        <v>962</v>
      </c>
      <c r="J145" s="16">
        <v>126</v>
      </c>
      <c r="K145" s="42">
        <v>145.4</v>
      </c>
      <c r="L145" s="23">
        <v>63.798000000000016</v>
      </c>
      <c r="M145" s="30">
        <v>78.099999999999994</v>
      </c>
      <c r="N145" s="30">
        <v>4.3527499999999986</v>
      </c>
      <c r="O145" s="12">
        <v>806.01631578947365</v>
      </c>
      <c r="P145" s="12">
        <v>820.46526315789481</v>
      </c>
      <c r="Q145" s="12">
        <v>2221.9389999999994</v>
      </c>
      <c r="R145" s="12">
        <v>1317.7429999999997</v>
      </c>
      <c r="S145" s="34">
        <v>0.155</v>
      </c>
      <c r="T145" s="42">
        <v>90.1</v>
      </c>
      <c r="U145" s="42">
        <v>88.7</v>
      </c>
      <c r="V145" s="42">
        <v>69.2</v>
      </c>
      <c r="W145" s="42">
        <v>89</v>
      </c>
      <c r="X145" s="23">
        <f>[1]ישיר!D134/1000</f>
        <v>8027.3180000000002</v>
      </c>
      <c r="Y145" s="23">
        <v>5373.98</v>
      </c>
      <c r="Z145" s="23">
        <f>[1]עקיף!H134</f>
        <v>962</v>
      </c>
      <c r="AA145" s="23">
        <f>[1]עקיף!P134</f>
        <v>983</v>
      </c>
      <c r="AB145" s="23">
        <f>[1]עקיף!Q134</f>
        <v>6018</v>
      </c>
      <c r="AF145" s="78"/>
      <c r="AG145" s="78">
        <v>2621.1</v>
      </c>
      <c r="AH145" s="3">
        <v>27777.174682000001</v>
      </c>
      <c r="AI145" s="4">
        <v>183.4</v>
      </c>
      <c r="AJ145" s="69">
        <v>145.4</v>
      </c>
      <c r="AK145" s="68">
        <v>85.2</v>
      </c>
      <c r="AL145" s="74">
        <v>53.635837466404489</v>
      </c>
      <c r="AM145" s="72">
        <v>18720</v>
      </c>
      <c r="AT145" s="67"/>
      <c r="AU145" s="76"/>
      <c r="AV145" s="68"/>
      <c r="AW145" s="68"/>
    </row>
    <row r="146" spans="1:49" ht="16.5" thickBot="1">
      <c r="A146" s="28">
        <v>38991</v>
      </c>
      <c r="B146" s="29">
        <f t="shared" si="6"/>
        <v>10</v>
      </c>
      <c r="C146" s="29">
        <f t="shared" si="7"/>
        <v>4</v>
      </c>
      <c r="D146" s="29">
        <f t="shared" si="8"/>
        <v>2006</v>
      </c>
      <c r="E146" s="11">
        <v>78.237099565600005</v>
      </c>
      <c r="F146" s="36">
        <v>7051</v>
      </c>
      <c r="G146" s="26">
        <v>6131</v>
      </c>
      <c r="H146" s="37">
        <v>3996</v>
      </c>
      <c r="I146" s="44">
        <v>1125</v>
      </c>
      <c r="J146" s="16">
        <v>130.19999999999999</v>
      </c>
      <c r="K146" s="42">
        <v>144.4</v>
      </c>
      <c r="L146" s="23">
        <v>58.893181818181809</v>
      </c>
      <c r="M146" s="30">
        <v>78.17</v>
      </c>
      <c r="N146" s="30">
        <v>4.272904761904762</v>
      </c>
      <c r="O146" s="12">
        <v>871.37285714285701</v>
      </c>
      <c r="P146" s="12">
        <v>886.7595238095239</v>
      </c>
      <c r="Q146" s="12">
        <v>2330.1745454545453</v>
      </c>
      <c r="R146" s="12">
        <v>1363.3772727272728</v>
      </c>
      <c r="S146" s="34">
        <v>0.155</v>
      </c>
      <c r="T146" s="42">
        <v>90.6</v>
      </c>
      <c r="U146" s="42">
        <v>88.6</v>
      </c>
      <c r="V146" s="42">
        <v>69.2</v>
      </c>
      <c r="W146" s="42">
        <v>87.4</v>
      </c>
      <c r="X146" s="23">
        <f>[1]ישיר!D135/1000</f>
        <v>7112.625</v>
      </c>
      <c r="Y146" s="23">
        <v>4732.1589999999997</v>
      </c>
      <c r="Z146" s="23">
        <f>[1]עקיף!H135</f>
        <v>1125</v>
      </c>
      <c r="AA146" s="23">
        <f>[1]עקיף!P135</f>
        <v>1022</v>
      </c>
      <c r="AB146" s="23">
        <f>[1]עקיף!Q135</f>
        <v>6143</v>
      </c>
      <c r="AF146" s="78"/>
      <c r="AG146" s="78">
        <v>2630.3</v>
      </c>
      <c r="AH146" s="3">
        <v>27516.514177000001</v>
      </c>
      <c r="AI146" s="4">
        <v>182.4</v>
      </c>
      <c r="AJ146" s="69">
        <v>144.4</v>
      </c>
      <c r="AK146" s="68">
        <v>87.2</v>
      </c>
      <c r="AL146" s="74">
        <v>53.910875919795885</v>
      </c>
      <c r="AM146" s="72">
        <v>21744</v>
      </c>
      <c r="AT146" s="67"/>
      <c r="AU146" s="76"/>
      <c r="AV146" s="68"/>
      <c r="AW146" s="68"/>
    </row>
    <row r="147" spans="1:49" ht="16.5" thickBot="1">
      <c r="A147" s="28">
        <v>39022</v>
      </c>
      <c r="B147" s="29">
        <f t="shared" si="6"/>
        <v>11</v>
      </c>
      <c r="C147" s="29">
        <f t="shared" si="7"/>
        <v>4</v>
      </c>
      <c r="D147" s="29">
        <f t="shared" si="8"/>
        <v>2006</v>
      </c>
      <c r="E147" s="11">
        <v>78.085330216299994</v>
      </c>
      <c r="F147" s="36">
        <v>8377</v>
      </c>
      <c r="G147" s="26">
        <v>6217</v>
      </c>
      <c r="H147" s="37">
        <v>3973</v>
      </c>
      <c r="I147" s="44">
        <v>1060</v>
      </c>
      <c r="J147" s="16">
        <v>127.6</v>
      </c>
      <c r="K147" s="42">
        <v>146.4</v>
      </c>
      <c r="L147" s="23">
        <v>59.082499999999996</v>
      </c>
      <c r="M147" s="30">
        <v>79.400000000000006</v>
      </c>
      <c r="N147" s="30">
        <v>4.3009047619047625</v>
      </c>
      <c r="O147" s="12">
        <v>916.44545454545448</v>
      </c>
      <c r="P147" s="12">
        <v>926.50636363636374</v>
      </c>
      <c r="Q147" s="12">
        <v>2408.7000000000007</v>
      </c>
      <c r="R147" s="12">
        <v>1388.6347619047619</v>
      </c>
      <c r="S147" s="34">
        <v>0.155</v>
      </c>
      <c r="T147" s="42">
        <v>91.4</v>
      </c>
      <c r="U147" s="42">
        <v>89</v>
      </c>
      <c r="V147" s="42">
        <v>68.3</v>
      </c>
      <c r="W147" s="42">
        <v>89.2</v>
      </c>
      <c r="X147" s="23">
        <f>[1]ישיר!D136/1000</f>
        <v>8397.375</v>
      </c>
      <c r="Y147" s="23">
        <v>5048.4030000000002</v>
      </c>
      <c r="Z147" s="23">
        <f>[1]עקיף!H136</f>
        <v>1060</v>
      </c>
      <c r="AA147" s="23">
        <f>[1]עקיף!P136</f>
        <v>1093</v>
      </c>
      <c r="AB147" s="23">
        <f>[1]עקיף!Q136</f>
        <v>6126</v>
      </c>
      <c r="AF147" s="78"/>
      <c r="AG147" s="78">
        <v>2641.6</v>
      </c>
      <c r="AH147" s="3">
        <v>28657.373857999999</v>
      </c>
      <c r="AI147" s="4">
        <v>180.2</v>
      </c>
      <c r="AJ147" s="69">
        <v>146.4</v>
      </c>
      <c r="AK147" s="68">
        <v>89.4</v>
      </c>
      <c r="AL147" s="74">
        <v>54.190239022766448</v>
      </c>
      <c r="AM147" s="72">
        <v>19680</v>
      </c>
      <c r="AT147" s="67"/>
      <c r="AU147" s="76"/>
      <c r="AV147" s="68"/>
      <c r="AW147" s="68"/>
    </row>
    <row r="148" spans="1:49" ht="16.5" thickBot="1">
      <c r="A148" s="28">
        <v>39052</v>
      </c>
      <c r="B148" s="29">
        <f t="shared" si="6"/>
        <v>12</v>
      </c>
      <c r="C148" s="29">
        <f t="shared" si="7"/>
        <v>4</v>
      </c>
      <c r="D148" s="29">
        <f t="shared" si="8"/>
        <v>2006</v>
      </c>
      <c r="E148" s="11">
        <v>78.085330216299994</v>
      </c>
      <c r="F148" s="36">
        <v>5180.8999999999996</v>
      </c>
      <c r="G148" s="26">
        <v>5369.3</v>
      </c>
      <c r="H148" s="46">
        <v>3624</v>
      </c>
      <c r="I148" s="47">
        <v>881</v>
      </c>
      <c r="J148" s="16">
        <v>128.30000000000001</v>
      </c>
      <c r="K148" s="42">
        <v>147.69999999999999</v>
      </c>
      <c r="L148" s="23">
        <v>61.958999999999989</v>
      </c>
      <c r="M148" s="30">
        <v>77.959999999999994</v>
      </c>
      <c r="N148" s="30">
        <v>4.2015999999999982</v>
      </c>
      <c r="O148" s="12">
        <v>935.44380952380948</v>
      </c>
      <c r="P148" s="12">
        <v>937.40619047619043</v>
      </c>
      <c r="Q148" s="12">
        <v>2431.9079999999999</v>
      </c>
      <c r="R148" s="12">
        <v>1416.4199999999998</v>
      </c>
      <c r="S148" s="34">
        <v>0.155</v>
      </c>
      <c r="T148" s="42">
        <v>92.3</v>
      </c>
      <c r="U148" s="42">
        <v>89</v>
      </c>
      <c r="V148" s="42">
        <v>70.599999999999994</v>
      </c>
      <c r="W148" s="42">
        <v>90.8</v>
      </c>
      <c r="X148" s="23">
        <f>[1]ישיר!D137/1000</f>
        <v>6913.3670000000002</v>
      </c>
      <c r="Y148" s="23">
        <v>5103.0460000000003</v>
      </c>
      <c r="Z148" s="23">
        <f>[1]עקיף!H137</f>
        <v>881</v>
      </c>
      <c r="AA148" s="23">
        <f>[1]עקיף!P137</f>
        <v>1023</v>
      </c>
      <c r="AB148" s="23">
        <f>[1]עקיף!Q137</f>
        <v>5528</v>
      </c>
      <c r="AF148" s="78"/>
      <c r="AG148" s="78">
        <v>2658</v>
      </c>
      <c r="AH148" s="3">
        <v>29178.249371999998</v>
      </c>
      <c r="AI148" s="4">
        <v>178.6</v>
      </c>
      <c r="AJ148" s="69">
        <v>147.6</v>
      </c>
      <c r="AK148" s="68">
        <v>88.5</v>
      </c>
      <c r="AL148" s="74">
        <v>54.424698233630906</v>
      </c>
      <c r="AM148" s="72">
        <v>20280</v>
      </c>
      <c r="AT148" s="67"/>
      <c r="AU148" s="76"/>
      <c r="AV148" s="68"/>
      <c r="AW148" s="68"/>
    </row>
    <row r="149" spans="1:49" ht="16.5" thickBot="1">
      <c r="A149" s="28">
        <v>39083</v>
      </c>
      <c r="B149" s="29">
        <f t="shared" si="6"/>
        <v>1</v>
      </c>
      <c r="C149" s="29">
        <f t="shared" si="7"/>
        <v>1</v>
      </c>
      <c r="D149" s="29">
        <f t="shared" si="8"/>
        <v>2007</v>
      </c>
      <c r="E149" s="11">
        <v>77.980609365299998</v>
      </c>
      <c r="F149" s="26">
        <v>9832</v>
      </c>
      <c r="G149" s="26">
        <v>7134</v>
      </c>
      <c r="H149" s="46">
        <v>4897</v>
      </c>
      <c r="I149" s="47">
        <v>1408</v>
      </c>
      <c r="J149" s="16">
        <v>128.19999999999999</v>
      </c>
      <c r="K149" s="42">
        <v>148.5</v>
      </c>
      <c r="L149" s="23">
        <v>54.506190476190483</v>
      </c>
      <c r="M149" s="30">
        <v>78.36</v>
      </c>
      <c r="N149" s="30">
        <v>4.2282727272727278</v>
      </c>
      <c r="O149" s="12">
        <v>937.69260869565221</v>
      </c>
      <c r="P149" s="12">
        <v>945.0504347826087</v>
      </c>
      <c r="Q149" s="12">
        <v>2453.1869999999999</v>
      </c>
      <c r="R149" s="12">
        <v>1424.1610000000001</v>
      </c>
      <c r="S149" s="34">
        <v>0.155</v>
      </c>
      <c r="T149" s="42">
        <v>91.2</v>
      </c>
      <c r="U149" s="42">
        <v>90</v>
      </c>
      <c r="V149" s="42">
        <v>68.900000000000006</v>
      </c>
      <c r="W149" s="42">
        <v>90</v>
      </c>
      <c r="X149" s="23">
        <f>[1]ישיר!D138/1000</f>
        <v>11065.18</v>
      </c>
      <c r="Y149" s="23">
        <v>6146.1390000000001</v>
      </c>
      <c r="Z149" s="23">
        <f>[1]עקיף!H138</f>
        <v>1408</v>
      </c>
      <c r="AA149" s="23">
        <f>[1]עקיף!P138</f>
        <v>997</v>
      </c>
      <c r="AB149" s="23">
        <f>[1]עקיף!Q138</f>
        <v>7302</v>
      </c>
      <c r="AF149" s="78"/>
      <c r="AG149" s="78">
        <v>2666.1</v>
      </c>
      <c r="AH149" s="3">
        <v>28607.450975</v>
      </c>
      <c r="AI149" s="4">
        <v>179.7</v>
      </c>
      <c r="AJ149" s="69">
        <v>148.5</v>
      </c>
      <c r="AK149" s="68">
        <v>87.9</v>
      </c>
      <c r="AL149" s="74">
        <v>54.742494239764383</v>
      </c>
      <c r="AM149" s="72">
        <v>18684</v>
      </c>
      <c r="AT149" s="67"/>
      <c r="AU149" s="76"/>
      <c r="AV149" s="68"/>
      <c r="AW149" s="68"/>
    </row>
    <row r="150" spans="1:49" ht="16.5" thickBot="1">
      <c r="A150" s="28">
        <v>39114</v>
      </c>
      <c r="B150" s="29">
        <f t="shared" si="6"/>
        <v>2</v>
      </c>
      <c r="C150" s="29">
        <f t="shared" si="7"/>
        <v>1</v>
      </c>
      <c r="D150" s="29">
        <f t="shared" si="8"/>
        <v>2007</v>
      </c>
      <c r="E150" s="11">
        <v>77.744304488400005</v>
      </c>
      <c r="F150" s="26">
        <v>9894</v>
      </c>
      <c r="G150" s="26">
        <v>5807</v>
      </c>
      <c r="H150" s="46">
        <v>3869</v>
      </c>
      <c r="I150" s="44">
        <v>1299</v>
      </c>
      <c r="J150" s="16">
        <v>132.69999999999999</v>
      </c>
      <c r="K150" s="42">
        <v>150.80000000000001</v>
      </c>
      <c r="L150" s="23">
        <v>59.278947368421051</v>
      </c>
      <c r="M150" s="30">
        <v>78.349999999999994</v>
      </c>
      <c r="N150" s="30">
        <v>4.218</v>
      </c>
      <c r="O150" s="12">
        <v>982.23249999999985</v>
      </c>
      <c r="P150" s="12">
        <v>986.97500000000036</v>
      </c>
      <c r="Q150" s="12">
        <v>2479.8642105263161</v>
      </c>
      <c r="R150" s="12">
        <v>1444.7947368421053</v>
      </c>
      <c r="S150" s="34">
        <v>0.155</v>
      </c>
      <c r="T150" s="42">
        <v>93.6</v>
      </c>
      <c r="U150" s="42">
        <v>92.6</v>
      </c>
      <c r="V150" s="42">
        <v>70.099999999999994</v>
      </c>
      <c r="W150" s="42">
        <v>90.8</v>
      </c>
      <c r="X150" s="23">
        <f>[1]ישיר!D139/1000</f>
        <v>9492.7119999999995</v>
      </c>
      <c r="Y150" s="23">
        <v>5311.8019999999997</v>
      </c>
      <c r="Z150" s="23">
        <f>[1]עקיף!H139</f>
        <v>1299</v>
      </c>
      <c r="AA150" s="23">
        <f>[1]עקיף!P139</f>
        <v>765</v>
      </c>
      <c r="AB150" s="23">
        <f>[1]עקיף!Q139</f>
        <v>5933</v>
      </c>
      <c r="AF150" s="78"/>
      <c r="AG150" s="78">
        <v>2674.5</v>
      </c>
      <c r="AH150" s="3">
        <v>30924.356356</v>
      </c>
      <c r="AI150" s="4">
        <v>179.7</v>
      </c>
      <c r="AJ150" s="69">
        <v>150.80000000000001</v>
      </c>
      <c r="AK150" s="68">
        <v>88</v>
      </c>
      <c r="AL150" s="74">
        <v>55.067640888054605</v>
      </c>
      <c r="AM150" s="72">
        <v>19764</v>
      </c>
      <c r="AT150" s="67"/>
      <c r="AU150" s="76"/>
      <c r="AV150" s="68"/>
      <c r="AW150" s="68"/>
    </row>
    <row r="151" spans="1:49" ht="16.5" thickBot="1">
      <c r="A151" s="28">
        <v>39142</v>
      </c>
      <c r="B151" s="29">
        <f t="shared" si="6"/>
        <v>3</v>
      </c>
      <c r="C151" s="29">
        <f t="shared" si="7"/>
        <v>1</v>
      </c>
      <c r="D151" s="29">
        <f t="shared" si="8"/>
        <v>2007</v>
      </c>
      <c r="E151" s="11">
        <v>77.901841073</v>
      </c>
      <c r="F151" s="26">
        <v>9430</v>
      </c>
      <c r="G151" s="26">
        <v>6735</v>
      </c>
      <c r="H151" s="46">
        <v>4409</v>
      </c>
      <c r="I151" s="44">
        <v>1039</v>
      </c>
      <c r="J151" s="16">
        <v>136.4</v>
      </c>
      <c r="K151" s="42">
        <v>151.19999999999999</v>
      </c>
      <c r="L151" s="23">
        <v>60.441818181818185</v>
      </c>
      <c r="M151" s="30">
        <v>77.83</v>
      </c>
      <c r="N151" s="30">
        <v>4.2000952380952388</v>
      </c>
      <c r="O151" s="12">
        <v>966.50650000000007</v>
      </c>
      <c r="P151" s="12">
        <v>968.9195000000002</v>
      </c>
      <c r="Q151" s="12">
        <v>2401.4909090909086</v>
      </c>
      <c r="R151" s="12">
        <v>1406.9518181818182</v>
      </c>
      <c r="S151" s="34">
        <v>0.155</v>
      </c>
      <c r="T151" s="42">
        <v>92.5</v>
      </c>
      <c r="U151" s="42">
        <v>91.5</v>
      </c>
      <c r="V151" s="42">
        <v>71.400000000000006</v>
      </c>
      <c r="W151" s="42">
        <v>93.5</v>
      </c>
      <c r="X151" s="23">
        <f>[1]ישיר!D140/1000</f>
        <v>9455.3389999999999</v>
      </c>
      <c r="Y151" s="23">
        <v>5853.63</v>
      </c>
      <c r="Z151" s="23">
        <f>[1]עקיף!H140</f>
        <v>1039</v>
      </c>
      <c r="AA151" s="23">
        <f>[1]עקיף!P140</f>
        <v>947</v>
      </c>
      <c r="AB151" s="23">
        <f>[1]עקיף!Q140</f>
        <v>6395</v>
      </c>
      <c r="AF151" s="78"/>
      <c r="AG151" s="78">
        <v>2673.7</v>
      </c>
      <c r="AH151" s="3">
        <v>30627.650766999999</v>
      </c>
      <c r="AI151" s="4">
        <v>178.5</v>
      </c>
      <c r="AJ151" s="69">
        <v>151.19999999999999</v>
      </c>
      <c r="AK151" s="68">
        <v>89.9</v>
      </c>
      <c r="AL151" s="74">
        <v>55.357150004702092</v>
      </c>
      <c r="AM151" s="72">
        <v>20016</v>
      </c>
      <c r="AT151" s="67"/>
      <c r="AU151" s="76"/>
      <c r="AV151" s="68"/>
      <c r="AW151" s="68"/>
    </row>
    <row r="152" spans="1:49" ht="16.5" thickBot="1">
      <c r="A152" s="28">
        <v>39173</v>
      </c>
      <c r="B152" s="29">
        <f t="shared" si="6"/>
        <v>4</v>
      </c>
      <c r="C152" s="29">
        <f t="shared" si="7"/>
        <v>2</v>
      </c>
      <c r="D152" s="29">
        <f t="shared" si="8"/>
        <v>2007</v>
      </c>
      <c r="E152" s="11">
        <v>78.295682534500003</v>
      </c>
      <c r="F152" s="26">
        <v>9112</v>
      </c>
      <c r="G152" s="26">
        <v>5581</v>
      </c>
      <c r="H152" s="46">
        <v>4064</v>
      </c>
      <c r="I152" s="44">
        <v>714</v>
      </c>
      <c r="J152" s="16">
        <v>131.1</v>
      </c>
      <c r="K152" s="42">
        <v>151.9</v>
      </c>
      <c r="L152" s="23">
        <v>63.976999999999997</v>
      </c>
      <c r="M152" s="30">
        <v>77.319999999999993</v>
      </c>
      <c r="N152" s="30">
        <v>4.0691875</v>
      </c>
      <c r="O152" s="12">
        <v>1046.06</v>
      </c>
      <c r="P152" s="12">
        <v>1041.9818750000002</v>
      </c>
      <c r="Q152" s="12">
        <v>2499.5680000000002</v>
      </c>
      <c r="R152" s="12">
        <v>1463.6404999999997</v>
      </c>
      <c r="S152" s="34">
        <v>0.155</v>
      </c>
      <c r="T152" s="42">
        <v>92.8</v>
      </c>
      <c r="U152" s="42">
        <v>90.7</v>
      </c>
      <c r="V152" s="42">
        <v>70.099999999999994</v>
      </c>
      <c r="W152" s="42">
        <v>91.3</v>
      </c>
      <c r="X152" s="23">
        <f>[1]ישיר!D141/1000</f>
        <v>9072.0460000000003</v>
      </c>
      <c r="Y152" s="23">
        <v>5396.1549999999997</v>
      </c>
      <c r="Z152" s="23">
        <f>[1]עקיף!H141</f>
        <v>714</v>
      </c>
      <c r="AA152" s="23">
        <f>[1]עקיף!P141</f>
        <v>923</v>
      </c>
      <c r="AB152" s="23">
        <f>[1]עקיף!Q141</f>
        <v>5701</v>
      </c>
      <c r="AF152" s="78"/>
      <c r="AG152" s="78">
        <v>2691.1</v>
      </c>
      <c r="AH152" s="3">
        <v>29972.873189000002</v>
      </c>
      <c r="AI152" s="4">
        <v>177.3</v>
      </c>
      <c r="AJ152" s="69">
        <v>151.80000000000001</v>
      </c>
      <c r="AK152" s="68">
        <v>89.1</v>
      </c>
      <c r="AL152" s="74">
        <v>55.544454948145308</v>
      </c>
      <c r="AM152" s="72">
        <v>18180</v>
      </c>
      <c r="AT152" s="67"/>
      <c r="AU152" s="76"/>
      <c r="AV152" s="68"/>
      <c r="AW152" s="68"/>
    </row>
    <row r="153" spans="1:49" ht="16.5" thickBot="1">
      <c r="A153" s="28">
        <v>39203</v>
      </c>
      <c r="B153" s="29">
        <f t="shared" si="6"/>
        <v>5</v>
      </c>
      <c r="C153" s="29">
        <f t="shared" si="7"/>
        <v>2</v>
      </c>
      <c r="D153" s="29">
        <f t="shared" si="8"/>
        <v>2007</v>
      </c>
      <c r="E153" s="11">
        <v>78.295682534500003</v>
      </c>
      <c r="F153" s="26">
        <v>8588</v>
      </c>
      <c r="G153" s="26">
        <v>7166</v>
      </c>
      <c r="H153" s="46">
        <v>4541</v>
      </c>
      <c r="I153" s="44">
        <v>1648</v>
      </c>
      <c r="J153" s="16">
        <v>132.19999999999999</v>
      </c>
      <c r="K153" s="42">
        <v>155.19999999999999</v>
      </c>
      <c r="L153" s="23">
        <v>63.454545454545453</v>
      </c>
      <c r="M153" s="30">
        <v>78.72</v>
      </c>
      <c r="N153" s="30">
        <v>4.0009523809523806</v>
      </c>
      <c r="O153" s="12">
        <v>1105.1109523809525</v>
      </c>
      <c r="P153" s="12">
        <v>1098.7509523809524</v>
      </c>
      <c r="Q153" s="12">
        <v>2562.1409090909092</v>
      </c>
      <c r="R153" s="12">
        <v>1511.1368181818179</v>
      </c>
      <c r="S153" s="34">
        <v>0.155</v>
      </c>
      <c r="T153" s="42">
        <v>94</v>
      </c>
      <c r="U153" s="42">
        <v>93.1</v>
      </c>
      <c r="V153" s="42">
        <v>72.8</v>
      </c>
      <c r="W153" s="42">
        <v>91.2</v>
      </c>
      <c r="X153" s="23">
        <f>[1]ישיר!D142/1000</f>
        <v>8540.8510000000006</v>
      </c>
      <c r="Y153" s="23">
        <v>5770.4059999999999</v>
      </c>
      <c r="Z153" s="23">
        <f>[1]עקיף!H142</f>
        <v>1648</v>
      </c>
      <c r="AA153" s="23">
        <f>[1]עקיף!P142</f>
        <v>959</v>
      </c>
      <c r="AB153" s="23">
        <f>[1]עקיף!Q142</f>
        <v>7148</v>
      </c>
      <c r="AF153" s="78"/>
      <c r="AG153" s="78">
        <v>2706.1</v>
      </c>
      <c r="AH153" s="3">
        <v>28546.204518999999</v>
      </c>
      <c r="AI153" s="4">
        <v>180.1</v>
      </c>
      <c r="AJ153" s="69">
        <v>155.19999999999999</v>
      </c>
      <c r="AK153" s="68">
        <v>90.4</v>
      </c>
      <c r="AL153" s="74">
        <v>55.978063406008495</v>
      </c>
      <c r="AM153" s="72">
        <v>19440</v>
      </c>
      <c r="AT153" s="67"/>
      <c r="AU153" s="76"/>
      <c r="AV153" s="68"/>
      <c r="AW153" s="68"/>
    </row>
    <row r="154" spans="1:49" ht="16.5" thickBot="1">
      <c r="A154" s="28">
        <v>39234</v>
      </c>
      <c r="B154" s="29">
        <f t="shared" si="6"/>
        <v>6</v>
      </c>
      <c r="C154" s="29">
        <f t="shared" si="7"/>
        <v>2</v>
      </c>
      <c r="D154" s="29">
        <f t="shared" si="8"/>
        <v>2007</v>
      </c>
      <c r="E154" s="11">
        <v>78.847060580499999</v>
      </c>
      <c r="F154" s="26">
        <v>8325</v>
      </c>
      <c r="G154" s="26">
        <v>5856</v>
      </c>
      <c r="H154" s="46">
        <v>3559</v>
      </c>
      <c r="I154" s="44">
        <v>1554</v>
      </c>
      <c r="J154" s="16">
        <v>137.19999999999999</v>
      </c>
      <c r="K154" s="42">
        <v>152</v>
      </c>
      <c r="L154" s="23">
        <v>67.489047619047611</v>
      </c>
      <c r="M154" s="30">
        <v>79.8</v>
      </c>
      <c r="N154" s="30">
        <v>4.1826666666666661</v>
      </c>
      <c r="O154" s="12">
        <v>1118.0255000000002</v>
      </c>
      <c r="P154" s="12">
        <v>1109.8425</v>
      </c>
      <c r="Q154" s="12">
        <v>2595.3961904761904</v>
      </c>
      <c r="R154" s="12">
        <v>1514.4895238095237</v>
      </c>
      <c r="S154" s="34">
        <v>0.155</v>
      </c>
      <c r="T154" s="42">
        <v>93.5</v>
      </c>
      <c r="U154" s="42">
        <v>92.2</v>
      </c>
      <c r="V154" s="42">
        <v>71</v>
      </c>
      <c r="W154" s="42">
        <v>92</v>
      </c>
      <c r="X154" s="23">
        <f>[1]ישיר!D143/1000</f>
        <v>8352.85</v>
      </c>
      <c r="Y154" s="23">
        <v>5157.4139999999998</v>
      </c>
      <c r="Z154" s="23">
        <f>[1]עקיף!H143</f>
        <v>1554</v>
      </c>
      <c r="AA154" s="23">
        <f>[1]עקיף!P143</f>
        <v>843</v>
      </c>
      <c r="AB154" s="23">
        <f>[1]עקיף!Q143</f>
        <v>5956</v>
      </c>
      <c r="AF154" s="78"/>
      <c r="AG154" s="78">
        <v>2715.1</v>
      </c>
      <c r="AH154" s="3">
        <v>29070.970378999999</v>
      </c>
      <c r="AI154" s="4">
        <v>184.5</v>
      </c>
      <c r="AJ154" s="69">
        <v>152</v>
      </c>
      <c r="AK154" s="68">
        <v>87.5</v>
      </c>
      <c r="AL154" s="74">
        <v>56.025356798165568</v>
      </c>
      <c r="AM154" s="72">
        <v>20868</v>
      </c>
      <c r="AT154" s="67"/>
      <c r="AU154" s="76"/>
      <c r="AV154" s="68"/>
      <c r="AW154" s="68"/>
    </row>
    <row r="155" spans="1:49" ht="16.5" thickBot="1">
      <c r="A155" s="28">
        <v>39264</v>
      </c>
      <c r="B155" s="29">
        <f t="shared" si="6"/>
        <v>7</v>
      </c>
      <c r="C155" s="29">
        <f t="shared" si="7"/>
        <v>3</v>
      </c>
      <c r="D155" s="29">
        <f t="shared" si="8"/>
        <v>2007</v>
      </c>
      <c r="E155" s="11">
        <v>79.713511795700001</v>
      </c>
      <c r="F155" s="26">
        <v>9683</v>
      </c>
      <c r="G155" s="26">
        <v>8017</v>
      </c>
      <c r="H155" s="46">
        <v>5176</v>
      </c>
      <c r="I155" s="44">
        <v>1586</v>
      </c>
      <c r="J155" s="16">
        <v>133.80000000000001</v>
      </c>
      <c r="K155" s="42">
        <v>153.5</v>
      </c>
      <c r="L155" s="23">
        <v>74.117619047619044</v>
      </c>
      <c r="M155" s="30">
        <v>76.86</v>
      </c>
      <c r="N155" s="30">
        <v>4.2543333333333333</v>
      </c>
      <c r="O155" s="12">
        <v>1140.4481818181816</v>
      </c>
      <c r="P155" s="12">
        <v>1129.9440909090908</v>
      </c>
      <c r="Q155" s="12">
        <v>2655.0761904761903</v>
      </c>
      <c r="R155" s="12">
        <v>1520.7047619047621</v>
      </c>
      <c r="S155" s="34">
        <v>0.155</v>
      </c>
      <c r="T155" s="42">
        <v>95.4</v>
      </c>
      <c r="U155" s="42">
        <v>92.4</v>
      </c>
      <c r="V155" s="42">
        <v>71.099999999999994</v>
      </c>
      <c r="W155" s="42">
        <v>92.2</v>
      </c>
      <c r="X155" s="23">
        <f>[1]ישיר!D144/1000</f>
        <v>9711.5290000000005</v>
      </c>
      <c r="Y155" s="23">
        <v>6119.7759999999998</v>
      </c>
      <c r="Z155" s="23">
        <f>[1]עקיף!H144</f>
        <v>1586</v>
      </c>
      <c r="AA155" s="23">
        <f>[1]עקיף!P144</f>
        <v>1074</v>
      </c>
      <c r="AB155" s="23">
        <f>[1]עקיף!Q144</f>
        <v>7836</v>
      </c>
      <c r="AF155" s="78"/>
      <c r="AG155" s="78">
        <v>2727.7</v>
      </c>
      <c r="AH155" s="3">
        <v>28416.975071000001</v>
      </c>
      <c r="AI155" s="4">
        <v>187.4</v>
      </c>
      <c r="AJ155" s="69">
        <v>153.4</v>
      </c>
      <c r="AK155" s="68">
        <v>90.9</v>
      </c>
      <c r="AL155" s="74">
        <v>56.38086856038305</v>
      </c>
      <c r="AM155" s="72">
        <v>20940</v>
      </c>
      <c r="AT155" s="67"/>
      <c r="AU155" s="76"/>
      <c r="AV155" s="68"/>
      <c r="AW155" s="68"/>
    </row>
    <row r="156" spans="1:49" ht="16.5" thickBot="1">
      <c r="A156" s="28">
        <v>39295</v>
      </c>
      <c r="B156" s="29">
        <f t="shared" si="6"/>
        <v>8</v>
      </c>
      <c r="C156" s="29">
        <f t="shared" si="7"/>
        <v>3</v>
      </c>
      <c r="D156" s="29">
        <f t="shared" si="8"/>
        <v>2007</v>
      </c>
      <c r="E156" s="11">
        <v>80.264889841699997</v>
      </c>
      <c r="F156" s="26">
        <v>8899</v>
      </c>
      <c r="G156" s="26">
        <v>6900</v>
      </c>
      <c r="H156" s="46">
        <v>4300</v>
      </c>
      <c r="I156" s="44">
        <v>1492</v>
      </c>
      <c r="J156" s="16">
        <v>132.4</v>
      </c>
      <c r="K156" s="42">
        <v>158.80000000000001</v>
      </c>
      <c r="L156" s="23">
        <v>72.356086956521736</v>
      </c>
      <c r="M156" s="30">
        <v>75.47</v>
      </c>
      <c r="N156" s="30">
        <v>4.2244347826086956</v>
      </c>
      <c r="O156" s="12">
        <v>1068.7740909090912</v>
      </c>
      <c r="P156" s="12">
        <v>1045.4481818181819</v>
      </c>
      <c r="Q156" s="12">
        <v>2539.4986956521739</v>
      </c>
      <c r="R156" s="12">
        <v>1454.616956521739</v>
      </c>
      <c r="S156" s="34">
        <v>0.155</v>
      </c>
      <c r="T156" s="42">
        <v>95.2</v>
      </c>
      <c r="U156" s="42">
        <v>94.2</v>
      </c>
      <c r="V156" s="42">
        <v>72.900000000000006</v>
      </c>
      <c r="W156" s="42">
        <v>93.7</v>
      </c>
      <c r="X156" s="23">
        <f>[1]ישיר!D145/1000</f>
        <v>8860.1309999999994</v>
      </c>
      <c r="Y156" s="23">
        <v>5381.3090000000002</v>
      </c>
      <c r="Z156" s="23">
        <f>[1]עקיף!H145</f>
        <v>1492</v>
      </c>
      <c r="AA156" s="23">
        <f>[1]עקיף!P145</f>
        <v>1137</v>
      </c>
      <c r="AB156" s="23">
        <f>[1]עקיף!Q145</f>
        <v>6929</v>
      </c>
      <c r="AF156" s="78"/>
      <c r="AG156" s="78">
        <v>2746.5</v>
      </c>
      <c r="AH156" s="3">
        <v>28916.860461</v>
      </c>
      <c r="AI156" s="4">
        <v>186.3</v>
      </c>
      <c r="AJ156" s="69">
        <v>158.80000000000001</v>
      </c>
      <c r="AK156" s="68">
        <v>90</v>
      </c>
      <c r="AL156" s="74">
        <v>56.499864106703143</v>
      </c>
      <c r="AM156" s="72">
        <v>22836</v>
      </c>
      <c r="AT156" s="67"/>
      <c r="AU156" s="76"/>
      <c r="AV156" s="68"/>
      <c r="AW156" s="68"/>
    </row>
    <row r="157" spans="1:49" ht="16.5" thickBot="1">
      <c r="A157" s="28">
        <v>39326</v>
      </c>
      <c r="B157" s="29">
        <f t="shared" si="6"/>
        <v>9</v>
      </c>
      <c r="C157" s="29">
        <f t="shared" si="7"/>
        <v>3</v>
      </c>
      <c r="D157" s="29">
        <f t="shared" si="8"/>
        <v>2007</v>
      </c>
      <c r="E157" s="11">
        <v>79.871048380199994</v>
      </c>
      <c r="F157" s="26">
        <v>8798</v>
      </c>
      <c r="G157" s="26">
        <v>6580</v>
      </c>
      <c r="H157" s="46">
        <v>4722</v>
      </c>
      <c r="I157" s="44">
        <v>1038</v>
      </c>
      <c r="J157" s="16">
        <v>139.19999999999999</v>
      </c>
      <c r="K157" s="42">
        <v>155.9</v>
      </c>
      <c r="L157" s="23">
        <v>79.914736842105242</v>
      </c>
      <c r="M157" s="30">
        <v>76.680000000000007</v>
      </c>
      <c r="N157" s="30">
        <v>4.0872000000000002</v>
      </c>
      <c r="O157" s="12">
        <v>1079.0882352941173</v>
      </c>
      <c r="P157" s="12">
        <v>1053.4382352941177</v>
      </c>
      <c r="Q157" s="12">
        <v>2634.47</v>
      </c>
      <c r="R157" s="12">
        <v>1497.1163157894739</v>
      </c>
      <c r="S157" s="34">
        <v>0.155</v>
      </c>
      <c r="T157" s="42">
        <v>93.8</v>
      </c>
      <c r="U157" s="42">
        <v>91.7</v>
      </c>
      <c r="V157" s="42">
        <v>71.7</v>
      </c>
      <c r="W157" s="42">
        <v>92.9</v>
      </c>
      <c r="X157" s="23">
        <f>[1]ישיר!D146/1000</f>
        <v>8926.598</v>
      </c>
      <c r="Y157" s="23">
        <v>5658.16</v>
      </c>
      <c r="Z157" s="23">
        <f>[1]עקיף!H146</f>
        <v>1038</v>
      </c>
      <c r="AA157" s="23">
        <f>[1]עקיף!P146</f>
        <v>1064</v>
      </c>
      <c r="AB157" s="23">
        <f>[1]עקיף!Q146</f>
        <v>6824</v>
      </c>
      <c r="AF157" s="78"/>
      <c r="AG157" s="78">
        <v>2728.3</v>
      </c>
      <c r="AH157" s="3">
        <v>29221.803658000001</v>
      </c>
      <c r="AI157" s="4">
        <v>184.1</v>
      </c>
      <c r="AJ157" s="69">
        <v>155.9</v>
      </c>
      <c r="AK157" s="68">
        <v>91.2</v>
      </c>
      <c r="AL157" s="74">
        <v>56.560099419605869</v>
      </c>
      <c r="AM157" s="72">
        <v>21408</v>
      </c>
      <c r="AT157" s="67"/>
      <c r="AU157" s="76"/>
      <c r="AV157" s="68"/>
      <c r="AW157" s="68"/>
    </row>
    <row r="158" spans="1:49" ht="16.5" thickBot="1">
      <c r="A158" s="28">
        <v>39356</v>
      </c>
      <c r="B158" s="29">
        <f t="shared" si="6"/>
        <v>10</v>
      </c>
      <c r="C158" s="29">
        <f t="shared" si="7"/>
        <v>4</v>
      </c>
      <c r="D158" s="29">
        <f t="shared" si="8"/>
        <v>2007</v>
      </c>
      <c r="E158" s="11">
        <v>79.949816672500006</v>
      </c>
      <c r="F158" s="26">
        <v>7937</v>
      </c>
      <c r="G158" s="26">
        <v>6666</v>
      </c>
      <c r="H158" s="46">
        <v>4170</v>
      </c>
      <c r="I158" s="44">
        <v>1353</v>
      </c>
      <c r="J158" s="16">
        <v>129.69999999999999</v>
      </c>
      <c r="K158" s="42">
        <v>155.6</v>
      </c>
      <c r="L158" s="23">
        <v>85.798695652173905</v>
      </c>
      <c r="M158" s="30">
        <v>77.88</v>
      </c>
      <c r="N158" s="30">
        <v>4.0138636363636362</v>
      </c>
      <c r="O158" s="12">
        <v>1191.0719047619048</v>
      </c>
      <c r="P158" s="12">
        <v>1154.4419047619047</v>
      </c>
      <c r="Q158" s="12">
        <v>2780.4156521739133</v>
      </c>
      <c r="R158" s="12">
        <v>1539.6586956521737</v>
      </c>
      <c r="S158" s="34">
        <v>0.155</v>
      </c>
      <c r="T158" s="42">
        <v>94.6</v>
      </c>
      <c r="U158" s="42">
        <v>93.1</v>
      </c>
      <c r="V158" s="42">
        <v>73.7</v>
      </c>
      <c r="W158" s="42">
        <v>93.4</v>
      </c>
      <c r="X158" s="23">
        <f>[1]ישיר!D147/1000</f>
        <v>7996.3010000000004</v>
      </c>
      <c r="Y158" s="23">
        <v>5066.0209999999997</v>
      </c>
      <c r="Z158" s="23">
        <f>[1]עקיף!H147</f>
        <v>1353</v>
      </c>
      <c r="AA158" s="23">
        <f>[1]עקיף!P147</f>
        <v>940</v>
      </c>
      <c r="AB158" s="23">
        <f>[1]עקיף!Q147</f>
        <v>6463</v>
      </c>
      <c r="AF158" s="78"/>
      <c r="AG158" s="78">
        <v>2775</v>
      </c>
      <c r="AH158" s="3">
        <v>28824.890671000001</v>
      </c>
      <c r="AI158" s="4">
        <v>183.1</v>
      </c>
      <c r="AJ158" s="69">
        <v>155.6</v>
      </c>
      <c r="AK158" s="68">
        <v>90.1</v>
      </c>
      <c r="AL158" s="74">
        <v>56.805338719039497</v>
      </c>
      <c r="AM158" s="72">
        <v>20724</v>
      </c>
      <c r="AT158" s="67"/>
      <c r="AU158" s="76"/>
      <c r="AV158" s="68"/>
      <c r="AW158" s="68"/>
    </row>
    <row r="159" spans="1:49" ht="16.5" thickBot="1">
      <c r="A159" s="28">
        <v>39387</v>
      </c>
      <c r="B159" s="29">
        <f t="shared" si="6"/>
        <v>11</v>
      </c>
      <c r="C159" s="29">
        <f t="shared" si="7"/>
        <v>4</v>
      </c>
      <c r="D159" s="29">
        <f t="shared" si="8"/>
        <v>2007</v>
      </c>
      <c r="E159" s="11">
        <v>80.264889841699997</v>
      </c>
      <c r="F159" s="14">
        <v>8188</v>
      </c>
      <c r="G159" s="14">
        <v>6606</v>
      </c>
      <c r="H159" s="46">
        <v>4463</v>
      </c>
      <c r="I159" s="47">
        <v>1148</v>
      </c>
      <c r="J159" s="16">
        <v>129.5</v>
      </c>
      <c r="K159" s="42">
        <v>160.30000000000001</v>
      </c>
      <c r="L159" s="23">
        <v>94.772380952380956</v>
      </c>
      <c r="M159" s="30">
        <v>77.75</v>
      </c>
      <c r="N159" s="30">
        <v>3.9133636363636368</v>
      </c>
      <c r="O159" s="12">
        <v>1199.4895238095237</v>
      </c>
      <c r="P159" s="12">
        <v>1145.7523809523811</v>
      </c>
      <c r="Q159" s="12">
        <v>2662.8023809523806</v>
      </c>
      <c r="R159" s="12">
        <v>1463.3852380952383</v>
      </c>
      <c r="S159" s="34">
        <v>0.155</v>
      </c>
      <c r="T159" s="42">
        <v>96.2</v>
      </c>
      <c r="U159" s="42">
        <v>94.5</v>
      </c>
      <c r="V159" s="42">
        <v>74.5</v>
      </c>
      <c r="W159" s="42">
        <v>93.5</v>
      </c>
      <c r="X159" s="23">
        <f>[1]ישיר!D148/1000</f>
        <v>8277.616</v>
      </c>
      <c r="Y159" s="23">
        <v>5458.5889999999999</v>
      </c>
      <c r="Z159" s="23">
        <f>[1]עקיף!H148</f>
        <v>1148</v>
      </c>
      <c r="AA159" s="23">
        <f>[1]עקיף!P148</f>
        <v>990</v>
      </c>
      <c r="AB159" s="23">
        <f>[1]עקיף!Q148</f>
        <v>6601</v>
      </c>
      <c r="AF159" s="78"/>
      <c r="AG159" s="78">
        <v>2764.2</v>
      </c>
      <c r="AH159" s="3">
        <v>28456.537885999998</v>
      </c>
      <c r="AI159" s="4">
        <v>183.3</v>
      </c>
      <c r="AJ159" s="69">
        <v>160.19999999999999</v>
      </c>
      <c r="AK159" s="68">
        <v>92.5</v>
      </c>
      <c r="AL159" s="74">
        <v>57.193690830283003</v>
      </c>
      <c r="AM159" s="72">
        <v>23328</v>
      </c>
      <c r="AT159" s="67"/>
      <c r="AU159" s="76"/>
      <c r="AV159" s="68"/>
      <c r="AW159" s="68"/>
    </row>
    <row r="160" spans="1:49" ht="16.5" thickBot="1">
      <c r="A160" s="28">
        <v>39417</v>
      </c>
      <c r="B160" s="29">
        <f t="shared" si="6"/>
        <v>12</v>
      </c>
      <c r="C160" s="29">
        <f t="shared" si="7"/>
        <v>4</v>
      </c>
      <c r="D160" s="29">
        <f t="shared" si="8"/>
        <v>2007</v>
      </c>
      <c r="E160" s="11">
        <v>80.737499595399996</v>
      </c>
      <c r="F160" s="36">
        <v>7798</v>
      </c>
      <c r="G160" s="26">
        <v>6520</v>
      </c>
      <c r="H160" s="46">
        <v>4200</v>
      </c>
      <c r="I160" s="47">
        <v>1243</v>
      </c>
      <c r="J160" s="16">
        <v>127</v>
      </c>
      <c r="K160" s="42">
        <v>160.80000000000001</v>
      </c>
      <c r="L160" s="23">
        <v>91.687000000000012</v>
      </c>
      <c r="M160" s="30">
        <v>78.39</v>
      </c>
      <c r="N160" s="30">
        <v>3.9042000000000003</v>
      </c>
      <c r="O160" s="12">
        <v>1209.9640909090908</v>
      </c>
      <c r="P160" s="12">
        <v>1152.2595454545456</v>
      </c>
      <c r="Q160" s="12">
        <v>2661.5484999999994</v>
      </c>
      <c r="R160" s="12">
        <v>1479.2235000000001</v>
      </c>
      <c r="S160" s="34">
        <v>0.155</v>
      </c>
      <c r="T160" s="42">
        <v>97.9</v>
      </c>
      <c r="U160" s="42">
        <v>94.5</v>
      </c>
      <c r="V160" s="42">
        <v>75.400000000000006</v>
      </c>
      <c r="W160" s="42">
        <v>94</v>
      </c>
      <c r="X160" s="23">
        <f>[1]ישיר!D149/1000</f>
        <v>7118.46</v>
      </c>
      <c r="Y160" s="23">
        <v>5200.7420000000002</v>
      </c>
      <c r="Z160" s="23">
        <f>[1]עקיף!H149</f>
        <v>1243</v>
      </c>
      <c r="AA160" s="23">
        <f>[1]עקיף!P149</f>
        <v>1038</v>
      </c>
      <c r="AB160" s="23">
        <f>[1]עקיף!Q149</f>
        <v>6481</v>
      </c>
      <c r="AF160" s="78"/>
      <c r="AG160" s="78">
        <v>2789.8</v>
      </c>
      <c r="AH160" s="3">
        <v>28555.931585999999</v>
      </c>
      <c r="AI160" s="4">
        <v>184.3</v>
      </c>
      <c r="AJ160" s="69">
        <v>160.80000000000001</v>
      </c>
      <c r="AK160" s="68">
        <v>93.5</v>
      </c>
      <c r="AL160" s="74">
        <v>57.487941067445178</v>
      </c>
      <c r="AM160" s="72">
        <v>23808</v>
      </c>
      <c r="AT160" s="67"/>
      <c r="AU160" s="76"/>
      <c r="AV160" s="68"/>
      <c r="AW160" s="68"/>
    </row>
    <row r="161" spans="1:49" ht="16.5" thickBot="1">
      <c r="A161" s="28">
        <v>39448</v>
      </c>
      <c r="B161" s="29">
        <f t="shared" si="6"/>
        <v>1</v>
      </c>
      <c r="C161" s="29">
        <f t="shared" si="7"/>
        <v>1</v>
      </c>
      <c r="D161" s="29">
        <f t="shared" si="8"/>
        <v>2008</v>
      </c>
      <c r="E161" s="11">
        <v>80.737499595399996</v>
      </c>
      <c r="F161" s="14">
        <v>9026</v>
      </c>
      <c r="G161" s="17">
        <v>7646</v>
      </c>
      <c r="H161" s="46">
        <v>5416</v>
      </c>
      <c r="I161" s="44">
        <v>1687</v>
      </c>
      <c r="J161" s="16">
        <v>132.4</v>
      </c>
      <c r="K161" s="42">
        <v>159.69999999999999</v>
      </c>
      <c r="L161" s="23">
        <v>92.970476190476205</v>
      </c>
      <c r="M161" s="30">
        <v>79.19</v>
      </c>
      <c r="N161" s="30">
        <v>3.7509090909090905</v>
      </c>
      <c r="O161" s="12">
        <v>1135.1508695652174</v>
      </c>
      <c r="P161" s="12">
        <v>1071.187391304348</v>
      </c>
      <c r="Q161" s="12">
        <v>2418.0938095238098</v>
      </c>
      <c r="R161" s="12">
        <v>1378.7638095238096</v>
      </c>
      <c r="S161" s="34">
        <v>0.155</v>
      </c>
      <c r="T161" s="42">
        <v>97.3</v>
      </c>
      <c r="U161" s="42">
        <v>94.5</v>
      </c>
      <c r="V161" s="42">
        <v>73.5</v>
      </c>
      <c r="W161" s="42">
        <v>91.7</v>
      </c>
      <c r="X161" s="23">
        <f>[1]ישיר!D150/1000</f>
        <v>9837.5490000000009</v>
      </c>
      <c r="Y161" s="23">
        <v>6332.1670000000004</v>
      </c>
      <c r="Z161" s="23">
        <f>[1]עקיף!H150</f>
        <v>1687</v>
      </c>
      <c r="AA161" s="23">
        <f>[1]עקיף!P150</f>
        <v>1120</v>
      </c>
      <c r="AB161" s="23">
        <f>[1]עקיף!Q150</f>
        <v>8223</v>
      </c>
      <c r="AF161" s="78"/>
      <c r="AG161" s="78">
        <v>2788.6</v>
      </c>
      <c r="AH161" s="3">
        <v>28713.324735999999</v>
      </c>
      <c r="AI161" s="4">
        <v>185.3</v>
      </c>
      <c r="AJ161" s="69">
        <v>159.69999999999999</v>
      </c>
      <c r="AK161" s="68">
        <v>95.6</v>
      </c>
      <c r="AL161" s="74">
        <v>57.718936670844514</v>
      </c>
      <c r="AM161" s="72">
        <v>24984</v>
      </c>
      <c r="AT161" s="67"/>
      <c r="AU161" s="76"/>
      <c r="AV161" s="68"/>
      <c r="AW161" s="68"/>
    </row>
    <row r="162" spans="1:49" ht="16.5" thickBot="1">
      <c r="A162" s="28">
        <v>39479</v>
      </c>
      <c r="B162" s="29">
        <f t="shared" si="6"/>
        <v>2</v>
      </c>
      <c r="C162" s="29">
        <f t="shared" si="7"/>
        <v>1</v>
      </c>
      <c r="D162" s="29">
        <f t="shared" si="8"/>
        <v>2008</v>
      </c>
      <c r="E162" s="11">
        <v>80.5799630108</v>
      </c>
      <c r="F162" s="14">
        <v>8878</v>
      </c>
      <c r="G162" s="17">
        <v>6558</v>
      </c>
      <c r="H162" s="46">
        <v>3923</v>
      </c>
      <c r="I162" s="44">
        <v>1387</v>
      </c>
      <c r="J162" s="16">
        <v>133.4</v>
      </c>
      <c r="K162" s="42">
        <v>162</v>
      </c>
      <c r="L162" s="23">
        <v>95.385999999999981</v>
      </c>
      <c r="M162" s="30">
        <v>81.77</v>
      </c>
      <c r="N162" s="30">
        <v>3.6084285714285707</v>
      </c>
      <c r="O162" s="12">
        <v>1088.3775000000001</v>
      </c>
      <c r="P162" s="12">
        <v>1018.7115</v>
      </c>
      <c r="Q162" s="12">
        <v>2325.8254999999999</v>
      </c>
      <c r="R162" s="12">
        <v>1354.8724999999999</v>
      </c>
      <c r="S162" s="34">
        <v>0.155</v>
      </c>
      <c r="T162" s="42">
        <v>95.7</v>
      </c>
      <c r="U162" s="42">
        <v>94.7</v>
      </c>
      <c r="V162" s="42">
        <v>74.599999999999994</v>
      </c>
      <c r="W162" s="42">
        <v>91.9</v>
      </c>
      <c r="X162" s="23">
        <f>[1]ישיר!D151/1000</f>
        <v>9179.8989999999994</v>
      </c>
      <c r="Y162" s="23">
        <v>5432.4350000000004</v>
      </c>
      <c r="Z162" s="23">
        <f>[1]עקיף!H151</f>
        <v>1387</v>
      </c>
      <c r="AA162" s="23">
        <f>[1]עקיף!P151</f>
        <v>945</v>
      </c>
      <c r="AB162" s="23">
        <f>[1]עקיף!Q151</f>
        <v>6255</v>
      </c>
      <c r="AF162" s="78"/>
      <c r="AG162" s="78">
        <v>2766.3</v>
      </c>
      <c r="AH162" s="3">
        <v>28582.611943</v>
      </c>
      <c r="AI162" s="4">
        <v>187.6</v>
      </c>
      <c r="AJ162" s="69">
        <v>162</v>
      </c>
      <c r="AK162" s="68">
        <v>95.9</v>
      </c>
      <c r="AL162" s="74">
        <v>57.891340120539738</v>
      </c>
      <c r="AM162" s="72">
        <v>20028</v>
      </c>
      <c r="AT162" s="67"/>
      <c r="AU162" s="76"/>
      <c r="AV162" s="68"/>
      <c r="AW162" s="68"/>
    </row>
    <row r="163" spans="1:49" ht="16.5" thickBot="1">
      <c r="A163" s="28">
        <v>39508</v>
      </c>
      <c r="B163" s="29">
        <f t="shared" si="6"/>
        <v>3</v>
      </c>
      <c r="C163" s="29">
        <f t="shared" si="7"/>
        <v>1</v>
      </c>
      <c r="D163" s="29">
        <f t="shared" si="8"/>
        <v>2008</v>
      </c>
      <c r="E163" s="11">
        <v>80.816267887699993</v>
      </c>
      <c r="F163" s="14">
        <v>8448</v>
      </c>
      <c r="G163" s="17">
        <v>7864</v>
      </c>
      <c r="H163" s="46">
        <v>5509</v>
      </c>
      <c r="I163" s="47">
        <v>1440</v>
      </c>
      <c r="J163" s="16">
        <v>127.7</v>
      </c>
      <c r="K163" s="42">
        <v>162.1</v>
      </c>
      <c r="L163" s="23">
        <v>105.45399999999999</v>
      </c>
      <c r="M163" s="30">
        <v>84.02</v>
      </c>
      <c r="N163" s="30">
        <v>3.51085</v>
      </c>
      <c r="O163" s="12">
        <v>1032.125</v>
      </c>
      <c r="P163" s="12">
        <v>953.97363636363661</v>
      </c>
      <c r="Q163" s="12">
        <v>2254.8180000000002</v>
      </c>
      <c r="R163" s="12">
        <v>1316.943</v>
      </c>
      <c r="S163" s="34">
        <v>0.155</v>
      </c>
      <c r="T163" s="42">
        <v>98.4</v>
      </c>
      <c r="U163" s="42">
        <v>97.5</v>
      </c>
      <c r="V163" s="42">
        <v>74.900000000000006</v>
      </c>
      <c r="W163" s="42">
        <v>92.7</v>
      </c>
      <c r="X163" s="23">
        <f>[1]ישיר!D152/1000</f>
        <v>8351.4069999999992</v>
      </c>
      <c r="Y163" s="23">
        <v>5126.6819999999998</v>
      </c>
      <c r="Z163" s="23">
        <f>[1]עקיף!H152</f>
        <v>1440</v>
      </c>
      <c r="AA163" s="23">
        <f>[1]עקיף!P152</f>
        <v>1126</v>
      </c>
      <c r="AB163" s="23">
        <f>[1]עקיף!Q152</f>
        <v>8075</v>
      </c>
      <c r="AF163" s="78"/>
      <c r="AG163" s="78">
        <v>2800.3</v>
      </c>
      <c r="AH163" s="3">
        <v>29539.300388</v>
      </c>
      <c r="AI163" s="4">
        <v>189.6</v>
      </c>
      <c r="AJ163" s="69">
        <v>162</v>
      </c>
      <c r="AK163" s="68">
        <v>99.6</v>
      </c>
      <c r="AL163" s="74">
        <v>58.173346473126905</v>
      </c>
      <c r="AM163" s="72">
        <v>19416</v>
      </c>
      <c r="AT163" s="67"/>
      <c r="AU163" s="76"/>
      <c r="AV163" s="68"/>
      <c r="AW163" s="68"/>
    </row>
    <row r="164" spans="1:49" ht="16.5" thickBot="1">
      <c r="A164" s="28">
        <v>39539</v>
      </c>
      <c r="B164" s="29">
        <f t="shared" si="6"/>
        <v>4</v>
      </c>
      <c r="C164" s="29">
        <f t="shared" si="7"/>
        <v>2</v>
      </c>
      <c r="D164" s="29">
        <f t="shared" si="8"/>
        <v>2008</v>
      </c>
      <c r="E164" s="11">
        <v>81.997792271999998</v>
      </c>
      <c r="F164" s="14">
        <v>8889</v>
      </c>
      <c r="G164" s="17">
        <v>6267</v>
      </c>
      <c r="H164" s="46">
        <v>3877</v>
      </c>
      <c r="I164" s="47">
        <v>1290</v>
      </c>
      <c r="J164" s="16">
        <v>123.2</v>
      </c>
      <c r="K164" s="42">
        <v>161.80000000000001</v>
      </c>
      <c r="L164" s="23">
        <v>112.58045454545453</v>
      </c>
      <c r="M164" s="30">
        <v>84.23</v>
      </c>
      <c r="N164" s="30">
        <v>3.5196818181818177</v>
      </c>
      <c r="O164" s="12">
        <v>1069.0066666666667</v>
      </c>
      <c r="P164" s="12">
        <v>992.68428571428547</v>
      </c>
      <c r="Q164" s="12">
        <v>2368.0995454545459</v>
      </c>
      <c r="R164" s="12">
        <v>1370.4690909090907</v>
      </c>
      <c r="S164" s="34">
        <v>0.155</v>
      </c>
      <c r="T164" s="42">
        <v>96.3</v>
      </c>
      <c r="U164" s="42">
        <v>97</v>
      </c>
      <c r="V164" s="42">
        <v>74.3</v>
      </c>
      <c r="W164" s="42">
        <v>92.4</v>
      </c>
      <c r="X164" s="23">
        <f>[1]ישיר!D153/1000</f>
        <v>8599.2340000000004</v>
      </c>
      <c r="Y164" s="23">
        <v>5219.79</v>
      </c>
      <c r="Z164" s="23">
        <f>[1]עקיף!H153</f>
        <v>1290</v>
      </c>
      <c r="AA164" s="23">
        <f>[1]עקיף!P153</f>
        <v>1003</v>
      </c>
      <c r="AB164" s="23">
        <f>[1]עקיף!Q153</f>
        <v>6170</v>
      </c>
      <c r="AF164" s="78"/>
      <c r="AG164" s="78">
        <v>2814.9</v>
      </c>
      <c r="AH164" s="3">
        <v>29478.273068999999</v>
      </c>
      <c r="AI164" s="4">
        <v>190</v>
      </c>
      <c r="AJ164" s="69">
        <v>161.80000000000001</v>
      </c>
      <c r="AK164" s="68">
        <v>98.1</v>
      </c>
      <c r="AL164" s="74">
        <v>58.320460514642448</v>
      </c>
      <c r="AM164" s="72">
        <v>18144</v>
      </c>
      <c r="AT164" s="67"/>
      <c r="AU164" s="76"/>
      <c r="AV164" s="68"/>
      <c r="AW164" s="68"/>
    </row>
    <row r="165" spans="1:49" ht="16.5" thickBot="1">
      <c r="A165" s="28">
        <v>39569</v>
      </c>
      <c r="B165" s="29">
        <f t="shared" si="6"/>
        <v>5</v>
      </c>
      <c r="C165" s="29">
        <f t="shared" si="7"/>
        <v>2</v>
      </c>
      <c r="D165" s="29">
        <f t="shared" si="8"/>
        <v>2008</v>
      </c>
      <c r="E165" s="11">
        <v>82.549170317999994</v>
      </c>
      <c r="F165" s="14">
        <v>8796</v>
      </c>
      <c r="G165" s="17">
        <v>7795</v>
      </c>
      <c r="H165" s="46">
        <v>5285</v>
      </c>
      <c r="I165" s="44">
        <v>1328</v>
      </c>
      <c r="J165" s="16">
        <v>127.6</v>
      </c>
      <c r="K165" s="42">
        <v>155.19999999999999</v>
      </c>
      <c r="L165" s="23">
        <v>125.39761904761905</v>
      </c>
      <c r="M165" s="30">
        <v>84.35</v>
      </c>
      <c r="N165" s="30">
        <v>3.3788000000000005</v>
      </c>
      <c r="O165" s="12">
        <v>1095.3578947368424</v>
      </c>
      <c r="P165" s="12">
        <v>1017.4910526315792</v>
      </c>
      <c r="Q165" s="12">
        <v>2483.2409523809515</v>
      </c>
      <c r="R165" s="12">
        <v>1403.2176190476189</v>
      </c>
      <c r="S165" s="34">
        <v>0.155</v>
      </c>
      <c r="T165" s="42">
        <v>92.4</v>
      </c>
      <c r="U165" s="42">
        <v>90.2</v>
      </c>
      <c r="V165" s="42">
        <v>71.599999999999994</v>
      </c>
      <c r="W165" s="42">
        <v>91.2</v>
      </c>
      <c r="X165" s="23">
        <f>[1]ישיר!D154/1000</f>
        <v>8799.0360000000001</v>
      </c>
      <c r="Y165" s="23">
        <v>5610.5290000000005</v>
      </c>
      <c r="Z165" s="23">
        <f>[1]עקיף!H154</f>
        <v>1328</v>
      </c>
      <c r="AA165" s="23">
        <f>[1]עקיף!P154</f>
        <v>1065</v>
      </c>
      <c r="AB165" s="23">
        <f>[1]עקיף!Q154</f>
        <v>7678</v>
      </c>
      <c r="AF165" s="78"/>
      <c r="AG165" s="78">
        <v>2799.6</v>
      </c>
      <c r="AH165" s="3">
        <v>29958.334675999999</v>
      </c>
      <c r="AI165" s="4">
        <v>191.4</v>
      </c>
      <c r="AJ165" s="69">
        <v>155.1</v>
      </c>
      <c r="AK165" s="68">
        <v>94.5</v>
      </c>
      <c r="AL165" s="74">
        <v>58.12718456584237</v>
      </c>
      <c r="AM165" s="72">
        <v>19164</v>
      </c>
      <c r="AT165" s="67"/>
      <c r="AU165" s="76"/>
      <c r="AV165" s="68"/>
      <c r="AW165" s="68"/>
    </row>
    <row r="166" spans="1:49" ht="16.5" thickBot="1">
      <c r="A166" s="28">
        <v>39600</v>
      </c>
      <c r="B166" s="29">
        <f t="shared" si="6"/>
        <v>6</v>
      </c>
      <c r="C166" s="29">
        <f t="shared" si="7"/>
        <v>2</v>
      </c>
      <c r="D166" s="29">
        <f t="shared" si="8"/>
        <v>2008</v>
      </c>
      <c r="E166" s="11">
        <v>82.627938610300006</v>
      </c>
      <c r="F166" s="14">
        <v>7056</v>
      </c>
      <c r="G166" s="17">
        <v>6464</v>
      </c>
      <c r="H166" s="46">
        <v>4010</v>
      </c>
      <c r="I166" s="44">
        <v>1430</v>
      </c>
      <c r="J166" s="16">
        <v>128.19999999999999</v>
      </c>
      <c r="K166" s="42">
        <v>164.2</v>
      </c>
      <c r="L166" s="23">
        <v>133.88</v>
      </c>
      <c r="M166" s="30">
        <v>88.57</v>
      </c>
      <c r="N166" s="30">
        <v>3.3622999999999998</v>
      </c>
      <c r="O166" s="12">
        <v>1113.2710526315791</v>
      </c>
      <c r="P166" s="12">
        <v>1021.4605263157891</v>
      </c>
      <c r="Q166" s="12">
        <v>2427.4542857142856</v>
      </c>
      <c r="R166" s="12">
        <v>1341.2509523809526</v>
      </c>
      <c r="S166" s="34">
        <v>0.155</v>
      </c>
      <c r="T166" s="42">
        <v>95.4</v>
      </c>
      <c r="U166" s="42">
        <v>93.2</v>
      </c>
      <c r="V166" s="42">
        <v>75.2</v>
      </c>
      <c r="W166" s="42">
        <v>89.1</v>
      </c>
      <c r="X166" s="23">
        <f>[1]ישיר!D155/1000</f>
        <v>7133.585</v>
      </c>
      <c r="Y166" s="23">
        <v>4893.46</v>
      </c>
      <c r="Z166" s="23">
        <f>[1]עקיף!H155</f>
        <v>1430</v>
      </c>
      <c r="AA166" s="23">
        <f>[1]עקיף!P155</f>
        <v>1065</v>
      </c>
      <c r="AB166" s="23">
        <f>[1]עקיף!Q155</f>
        <v>6505</v>
      </c>
      <c r="AF166" s="78"/>
      <c r="AG166" s="78">
        <v>2803.7</v>
      </c>
      <c r="AH166" s="3">
        <v>31383.391887999998</v>
      </c>
      <c r="AI166" s="4">
        <v>195.5</v>
      </c>
      <c r="AJ166" s="69">
        <v>164.2</v>
      </c>
      <c r="AK166" s="68">
        <v>98.4</v>
      </c>
      <c r="AL166" s="74">
        <v>58.389900976561073</v>
      </c>
      <c r="AM166" s="72">
        <v>17916</v>
      </c>
      <c r="AT166" s="67"/>
      <c r="AU166" s="76"/>
      <c r="AV166" s="68"/>
      <c r="AW166" s="68"/>
    </row>
    <row r="167" spans="1:49" ht="16.5" thickBot="1">
      <c r="A167" s="28">
        <v>39630</v>
      </c>
      <c r="B167" s="29">
        <f t="shared" si="6"/>
        <v>7</v>
      </c>
      <c r="C167" s="29">
        <f t="shared" si="7"/>
        <v>3</v>
      </c>
      <c r="D167" s="29">
        <f t="shared" si="8"/>
        <v>2008</v>
      </c>
      <c r="E167" s="11">
        <v>83.573158117800006</v>
      </c>
      <c r="F167" s="14">
        <v>8495</v>
      </c>
      <c r="G167" s="17">
        <v>7940</v>
      </c>
      <c r="H167" s="46">
        <v>5296</v>
      </c>
      <c r="I167" s="44">
        <v>1490</v>
      </c>
      <c r="J167" s="16">
        <v>124.3</v>
      </c>
      <c r="K167" s="42">
        <v>170.5</v>
      </c>
      <c r="L167" s="23">
        <v>133.37090909090909</v>
      </c>
      <c r="M167" s="30">
        <v>88.56</v>
      </c>
      <c r="N167" s="30">
        <v>3.3711304347826081</v>
      </c>
      <c r="O167" s="12">
        <v>1023.2650000000001</v>
      </c>
      <c r="P167" s="12">
        <v>929.76409090909078</v>
      </c>
      <c r="Q167" s="12">
        <v>2278.1372727272724</v>
      </c>
      <c r="R167" s="12">
        <v>1257.3263636363636</v>
      </c>
      <c r="S167" s="34">
        <v>0.155</v>
      </c>
      <c r="T167" s="42">
        <v>98.3</v>
      </c>
      <c r="U167" s="42">
        <v>96.2</v>
      </c>
      <c r="V167" s="42">
        <v>77.7</v>
      </c>
      <c r="W167" s="42">
        <v>102.9</v>
      </c>
      <c r="X167" s="23">
        <f>[1]ישיר!D156/1000</f>
        <v>8730.5910000000003</v>
      </c>
      <c r="Y167" s="23">
        <v>5660.3959999999997</v>
      </c>
      <c r="Z167" s="23">
        <f>[1]עקיף!H156</f>
        <v>1490</v>
      </c>
      <c r="AA167" s="23">
        <f>[1]עקיף!P156</f>
        <v>1189</v>
      </c>
      <c r="AB167" s="23">
        <f>[1]עקיף!Q156</f>
        <v>7975</v>
      </c>
      <c r="AF167" s="78"/>
      <c r="AG167" s="78">
        <v>2826.5</v>
      </c>
      <c r="AH167" s="3">
        <v>32623.761200000001</v>
      </c>
      <c r="AI167" s="4">
        <v>199.3</v>
      </c>
      <c r="AJ167" s="69">
        <v>170.4</v>
      </c>
      <c r="AK167" s="68">
        <v>99.4</v>
      </c>
      <c r="AL167" s="74">
        <v>58.646796029069627</v>
      </c>
      <c r="AM167" s="72">
        <v>17952</v>
      </c>
      <c r="AT167" s="67"/>
      <c r="AU167" s="76"/>
      <c r="AV167" s="68"/>
      <c r="AW167" s="68"/>
    </row>
    <row r="168" spans="1:49" ht="16.5" thickBot="1">
      <c r="A168" s="28">
        <v>39661</v>
      </c>
      <c r="B168" s="29">
        <f t="shared" si="6"/>
        <v>8</v>
      </c>
      <c r="C168" s="29">
        <f t="shared" si="7"/>
        <v>3</v>
      </c>
      <c r="D168" s="29">
        <f t="shared" si="8"/>
        <v>2008</v>
      </c>
      <c r="E168" s="11">
        <v>84.282072748399997</v>
      </c>
      <c r="F168" s="14">
        <v>7457</v>
      </c>
      <c r="G168" s="17">
        <v>7079</v>
      </c>
      <c r="H168" s="46">
        <v>4652</v>
      </c>
      <c r="I168" s="44">
        <v>1284</v>
      </c>
      <c r="J168" s="16">
        <v>127.8</v>
      </c>
      <c r="K168" s="42">
        <v>164.2</v>
      </c>
      <c r="L168" s="23">
        <v>116.66619047619049</v>
      </c>
      <c r="M168" s="30">
        <v>88.22</v>
      </c>
      <c r="N168" s="30">
        <v>3.5587142857142857</v>
      </c>
      <c r="O168" s="12">
        <v>1022.1944999999998</v>
      </c>
      <c r="P168" s="12">
        <v>932.23549999999977</v>
      </c>
      <c r="Q168" s="12">
        <v>2389.267142857143</v>
      </c>
      <c r="R168" s="12">
        <v>1281.4723809523809</v>
      </c>
      <c r="S168" s="34">
        <v>0.155</v>
      </c>
      <c r="T168" s="42">
        <v>94.8</v>
      </c>
      <c r="U168" s="42">
        <v>91.6</v>
      </c>
      <c r="V168" s="42">
        <v>75.8</v>
      </c>
      <c r="W168" s="42">
        <v>90</v>
      </c>
      <c r="X168" s="23">
        <f>[1]ישיר!D157/1000</f>
        <v>7506.5860000000002</v>
      </c>
      <c r="Y168" s="23">
        <v>4942.3159999999998</v>
      </c>
      <c r="Z168" s="23">
        <f>[1]עקיף!H157</f>
        <v>1284</v>
      </c>
      <c r="AA168" s="23">
        <f>[1]עקיף!P157</f>
        <v>1189</v>
      </c>
      <c r="AB168" s="23">
        <f>[1]עקיף!Q157</f>
        <v>7125</v>
      </c>
      <c r="AF168" s="78"/>
      <c r="AG168" s="78">
        <v>2817.3</v>
      </c>
      <c r="AH168" s="3">
        <v>33749.937440000002</v>
      </c>
      <c r="AI168" s="4">
        <v>201.7</v>
      </c>
      <c r="AJ168" s="69">
        <v>164.2</v>
      </c>
      <c r="AK168" s="68">
        <v>98.2</v>
      </c>
      <c r="AL168" s="74">
        <v>58.389285555368367</v>
      </c>
      <c r="AM168" s="72">
        <v>17940</v>
      </c>
      <c r="AT168" s="67"/>
      <c r="AU168" s="76"/>
      <c r="AV168" s="68"/>
      <c r="AW168" s="68"/>
    </row>
    <row r="169" spans="1:49" ht="16.5" thickBot="1">
      <c r="A169" s="28">
        <v>39692</v>
      </c>
      <c r="B169" s="29">
        <f t="shared" si="6"/>
        <v>9</v>
      </c>
      <c r="C169" s="29">
        <f t="shared" si="7"/>
        <v>3</v>
      </c>
      <c r="D169" s="29">
        <f t="shared" si="8"/>
        <v>2008</v>
      </c>
      <c r="E169" s="11">
        <v>84.282072748399997</v>
      </c>
      <c r="F169" s="14">
        <v>7745</v>
      </c>
      <c r="G169" s="17">
        <v>7199</v>
      </c>
      <c r="H169" s="46">
        <v>4953</v>
      </c>
      <c r="I169" s="44">
        <v>1003</v>
      </c>
      <c r="J169" s="16">
        <v>129.19999999999999</v>
      </c>
      <c r="K169" s="42">
        <v>167.9</v>
      </c>
      <c r="L169" s="23">
        <v>104.1142857142857</v>
      </c>
      <c r="M169" s="30">
        <v>86.65</v>
      </c>
      <c r="N169" s="30">
        <v>3.5456500000000006</v>
      </c>
      <c r="O169" s="12">
        <v>931.17100000000028</v>
      </c>
      <c r="P169" s="12">
        <v>846.99050000000022</v>
      </c>
      <c r="Q169" s="12">
        <v>2205.6580952380955</v>
      </c>
      <c r="R169" s="12">
        <v>1217.0228571428572</v>
      </c>
      <c r="S169" s="34">
        <v>0.155</v>
      </c>
      <c r="T169" s="42">
        <v>94.3</v>
      </c>
      <c r="U169" s="42">
        <v>92.3</v>
      </c>
      <c r="V169" s="42">
        <v>77</v>
      </c>
      <c r="W169" s="42">
        <v>92.3</v>
      </c>
      <c r="X169" s="23">
        <f>[1]ישיר!D158/1000</f>
        <v>7790.7510000000002</v>
      </c>
      <c r="Y169" s="23">
        <v>5022.53</v>
      </c>
      <c r="Z169" s="23">
        <f>[1]עקיף!H158</f>
        <v>1003</v>
      </c>
      <c r="AA169" s="23">
        <f>[1]עקיף!P158</f>
        <v>1148</v>
      </c>
      <c r="AB169" s="23">
        <f>[1]עקיף!Q158</f>
        <v>7104</v>
      </c>
      <c r="AF169" s="78"/>
      <c r="AG169" s="78">
        <v>2834.6</v>
      </c>
      <c r="AH169" s="3">
        <v>36255.557035999998</v>
      </c>
      <c r="AI169" s="4">
        <v>203.6</v>
      </c>
      <c r="AJ169" s="69">
        <v>167.8</v>
      </c>
      <c r="AK169" s="68">
        <v>92.4</v>
      </c>
      <c r="AL169" s="74">
        <v>58.204210070433874</v>
      </c>
      <c r="AM169" s="72">
        <v>19704</v>
      </c>
      <c r="AT169" s="67"/>
      <c r="AU169" s="76"/>
      <c r="AV169" s="68"/>
      <c r="AW169" s="68"/>
    </row>
    <row r="170" spans="1:49" ht="16.5" thickBot="1">
      <c r="A170" s="28">
        <v>39722</v>
      </c>
      <c r="B170" s="29">
        <f t="shared" si="6"/>
        <v>10</v>
      </c>
      <c r="C170" s="29">
        <f t="shared" si="7"/>
        <v>4</v>
      </c>
      <c r="D170" s="29">
        <f t="shared" si="8"/>
        <v>2008</v>
      </c>
      <c r="E170" s="11">
        <v>84.360841040699995</v>
      </c>
      <c r="F170" s="14">
        <v>7002</v>
      </c>
      <c r="G170" s="17">
        <v>6538</v>
      </c>
      <c r="H170" s="46">
        <v>4556</v>
      </c>
      <c r="I170" s="44">
        <v>912</v>
      </c>
      <c r="J170" s="16">
        <v>121.4</v>
      </c>
      <c r="K170" s="42">
        <v>166.2</v>
      </c>
      <c r="L170" s="23">
        <v>76.608695652173907</v>
      </c>
      <c r="M170" s="30">
        <v>89.22</v>
      </c>
      <c r="N170" s="30">
        <v>3.6871666666666667</v>
      </c>
      <c r="O170" s="12">
        <v>762.34466666666663</v>
      </c>
      <c r="P170" s="12">
        <v>681.77133333333336</v>
      </c>
      <c r="Q170" s="12">
        <v>1730.3195652173906</v>
      </c>
      <c r="R170" s="12">
        <v>968.80086956521734</v>
      </c>
      <c r="S170" s="34">
        <v>0.155</v>
      </c>
      <c r="T170" s="42">
        <v>93.3</v>
      </c>
      <c r="U170" s="42">
        <v>92.1</v>
      </c>
      <c r="V170" s="42">
        <v>75.7</v>
      </c>
      <c r="W170" s="42">
        <v>91.3</v>
      </c>
      <c r="X170" s="23">
        <f>[1]ישיר!D159/1000</f>
        <v>7164.6909999999998</v>
      </c>
      <c r="Y170" s="23">
        <v>4759.7430000000004</v>
      </c>
      <c r="Z170" s="23">
        <f>[1]עקיף!H159</f>
        <v>912</v>
      </c>
      <c r="AA170" s="23">
        <f>[1]עקיף!P159</f>
        <v>859</v>
      </c>
      <c r="AB170" s="23">
        <f>[1]עקיף!Q159</f>
        <v>6327</v>
      </c>
      <c r="AF170" s="78"/>
      <c r="AG170" s="78">
        <v>2809.1</v>
      </c>
      <c r="AH170" s="3">
        <v>35265.056164000001</v>
      </c>
      <c r="AI170" s="4">
        <v>203.4</v>
      </c>
      <c r="AJ170" s="69">
        <v>166.1</v>
      </c>
      <c r="AK170" s="68">
        <v>94.7</v>
      </c>
      <c r="AL170" s="74">
        <v>57.836394183346165</v>
      </c>
      <c r="AM170" s="72">
        <v>14280</v>
      </c>
      <c r="AT170" s="67"/>
      <c r="AU170" s="76"/>
      <c r="AV170" s="68"/>
      <c r="AW170" s="68"/>
    </row>
    <row r="171" spans="1:49" ht="16.5" thickBot="1">
      <c r="A171" s="28">
        <v>39753</v>
      </c>
      <c r="B171" s="29">
        <f t="shared" si="6"/>
        <v>11</v>
      </c>
      <c r="C171" s="29">
        <f t="shared" si="7"/>
        <v>4</v>
      </c>
      <c r="D171" s="29">
        <f t="shared" si="8"/>
        <v>2008</v>
      </c>
      <c r="E171" s="11">
        <v>83.888231286899995</v>
      </c>
      <c r="F171" s="14">
        <v>7241</v>
      </c>
      <c r="G171" s="17">
        <v>6476</v>
      </c>
      <c r="H171" s="46">
        <v>4484</v>
      </c>
      <c r="I171" s="44">
        <v>1067</v>
      </c>
      <c r="J171" s="16">
        <v>121.8</v>
      </c>
      <c r="K171" s="42">
        <v>165.7</v>
      </c>
      <c r="L171" s="23">
        <v>57.309473684210523</v>
      </c>
      <c r="M171" s="30">
        <v>90.34</v>
      </c>
      <c r="N171" s="30">
        <v>3.8903999999999996</v>
      </c>
      <c r="O171" s="12">
        <v>698.33571428571429</v>
      </c>
      <c r="P171" s="12">
        <v>616.2395238095238</v>
      </c>
      <c r="Q171" s="12">
        <v>1542.695789473684</v>
      </c>
      <c r="R171" s="12">
        <v>883.04052631578952</v>
      </c>
      <c r="S171" s="34">
        <v>0.155</v>
      </c>
      <c r="T171" s="42">
        <v>93.3</v>
      </c>
      <c r="U171" s="42">
        <v>90.2</v>
      </c>
      <c r="V171" s="42">
        <v>75.2</v>
      </c>
      <c r="W171" s="42">
        <v>91.1</v>
      </c>
      <c r="X171" s="23">
        <f>[1]ישיר!D160/1000</f>
        <v>7140.5910000000003</v>
      </c>
      <c r="Y171" s="23">
        <v>4789.1289999999999</v>
      </c>
      <c r="Z171" s="23">
        <f>[1]עקיף!H160</f>
        <v>1067</v>
      </c>
      <c r="AA171" s="23">
        <f>[1]עקיף!P160</f>
        <v>1133</v>
      </c>
      <c r="AB171" s="23">
        <f>[1]עקיף!Q160</f>
        <v>6684</v>
      </c>
      <c r="AF171" s="78"/>
      <c r="AG171" s="78">
        <v>2829.1</v>
      </c>
      <c r="AH171" s="3">
        <v>37024.097571999999</v>
      </c>
      <c r="AI171" s="4">
        <v>202.8</v>
      </c>
      <c r="AJ171" s="69">
        <v>165.7</v>
      </c>
      <c r="AK171" s="68">
        <v>92.7</v>
      </c>
      <c r="AL171" s="74">
        <v>57.492490330629053</v>
      </c>
      <c r="AM171" s="72">
        <v>13080</v>
      </c>
      <c r="AT171" s="67"/>
      <c r="AU171" s="76"/>
      <c r="AV171" s="68"/>
      <c r="AW171" s="68"/>
    </row>
    <row r="172" spans="1:49" ht="16.5" thickBot="1">
      <c r="A172" s="28">
        <v>39783</v>
      </c>
      <c r="B172" s="29">
        <f t="shared" si="6"/>
        <v>12</v>
      </c>
      <c r="C172" s="29">
        <f t="shared" si="7"/>
        <v>4</v>
      </c>
      <c r="D172" s="29">
        <f t="shared" si="8"/>
        <v>2008</v>
      </c>
      <c r="E172" s="11">
        <v>83.809462994599997</v>
      </c>
      <c r="F172" s="14">
        <v>6681.9</v>
      </c>
      <c r="G172" s="17">
        <v>5397.6</v>
      </c>
      <c r="H172" s="46">
        <v>3335</v>
      </c>
      <c r="I172" s="44">
        <v>779</v>
      </c>
      <c r="J172" s="16">
        <v>113.4</v>
      </c>
      <c r="K172" s="42">
        <v>163.4</v>
      </c>
      <c r="L172" s="23">
        <v>41.121818181818178</v>
      </c>
      <c r="M172" s="30">
        <v>87.6</v>
      </c>
      <c r="N172" s="30">
        <v>3.8699523809523813</v>
      </c>
      <c r="O172" s="12">
        <v>663.13043478260863</v>
      </c>
      <c r="P172" s="12">
        <v>581.66565217391314</v>
      </c>
      <c r="Q172" s="12">
        <v>1525.8904545454543</v>
      </c>
      <c r="R172" s="12">
        <v>877.56181818181801</v>
      </c>
      <c r="S172" s="34">
        <v>0.155</v>
      </c>
      <c r="T172" s="42">
        <v>89.9</v>
      </c>
      <c r="U172" s="42">
        <v>87</v>
      </c>
      <c r="V172" s="42">
        <v>74.900000000000006</v>
      </c>
      <c r="W172" s="42">
        <v>88.7</v>
      </c>
      <c r="X172" s="23">
        <f>[1]ישיר!D161/1000</f>
        <v>6253.3649999999998</v>
      </c>
      <c r="Y172" s="23">
        <v>4793.6660000000002</v>
      </c>
      <c r="Z172" s="23">
        <f>[1]עקיף!H161</f>
        <v>779</v>
      </c>
      <c r="AA172" s="23">
        <f>[1]עקיף!P161</f>
        <v>991</v>
      </c>
      <c r="AB172" s="23">
        <f>[1]עקיף!Q161</f>
        <v>5105</v>
      </c>
      <c r="AF172" s="78"/>
      <c r="AG172" s="78">
        <v>2821.7</v>
      </c>
      <c r="AH172" s="3">
        <v>42513.024155999999</v>
      </c>
      <c r="AI172" s="4">
        <v>203.8</v>
      </c>
      <c r="AJ172" s="69">
        <v>163.4</v>
      </c>
      <c r="AK172" s="68">
        <v>93.1</v>
      </c>
      <c r="AL172" s="74">
        <v>56.892098032349026</v>
      </c>
      <c r="AM172" s="72">
        <v>9852</v>
      </c>
      <c r="AT172" s="67"/>
      <c r="AU172" s="76"/>
      <c r="AV172" s="68"/>
      <c r="AW172" s="68"/>
    </row>
    <row r="173" spans="1:49" ht="16.5" thickBot="1">
      <c r="A173" s="28">
        <v>39814</v>
      </c>
      <c r="B173" s="29">
        <f t="shared" si="6"/>
        <v>1</v>
      </c>
      <c r="C173" s="29">
        <f t="shared" si="7"/>
        <v>1</v>
      </c>
      <c r="D173" s="29">
        <f t="shared" si="8"/>
        <v>2009</v>
      </c>
      <c r="E173" s="11">
        <v>83.364973521300001</v>
      </c>
      <c r="F173" s="26">
        <v>7155</v>
      </c>
      <c r="G173" s="26">
        <v>6716</v>
      </c>
      <c r="H173" s="46">
        <v>4839</v>
      </c>
      <c r="I173" s="44">
        <v>1076</v>
      </c>
      <c r="J173" s="16">
        <v>121.3</v>
      </c>
      <c r="K173" s="42">
        <v>165.4</v>
      </c>
      <c r="L173" s="23">
        <v>41.71</v>
      </c>
      <c r="M173" s="30">
        <v>86.96</v>
      </c>
      <c r="N173" s="30">
        <v>3.9133333333333331</v>
      </c>
      <c r="O173" s="12">
        <v>669.53666666666663</v>
      </c>
      <c r="P173" s="12">
        <v>596.31714285714293</v>
      </c>
      <c r="Q173" s="12">
        <v>1537.2005000000001</v>
      </c>
      <c r="R173" s="12">
        <v>865.57550000000015</v>
      </c>
      <c r="S173" s="34">
        <v>0.155</v>
      </c>
      <c r="T173" s="42">
        <v>88.7</v>
      </c>
      <c r="U173" s="42">
        <v>87.7</v>
      </c>
      <c r="V173" s="42">
        <v>77</v>
      </c>
      <c r="W173" s="42">
        <v>86.4</v>
      </c>
      <c r="X173" s="23">
        <f>[1]ישיר!D162/1000</f>
        <v>8244.6579999999994</v>
      </c>
      <c r="Y173" s="23">
        <v>5738.6369999999997</v>
      </c>
      <c r="Z173" s="23">
        <f>[1]עקיף!H162</f>
        <v>1076</v>
      </c>
      <c r="AA173" s="23">
        <f>[1]עקיף!P162</f>
        <v>1093</v>
      </c>
      <c r="AB173" s="23">
        <f>[1]עקיף!Q162</f>
        <v>7008</v>
      </c>
      <c r="AF173" s="78"/>
      <c r="AG173" s="78">
        <v>2797.4</v>
      </c>
      <c r="AH173" s="3">
        <v>41926.953925000002</v>
      </c>
      <c r="AI173" s="4">
        <v>204.3</v>
      </c>
      <c r="AJ173" s="69">
        <v>165.4</v>
      </c>
      <c r="AK173" s="68">
        <v>89</v>
      </c>
      <c r="AL173" s="74">
        <v>56.341669875142465</v>
      </c>
      <c r="AM173" s="72">
        <v>12600</v>
      </c>
      <c r="AT173" s="67"/>
      <c r="AU173" s="76"/>
      <c r="AV173" s="68"/>
      <c r="AW173" s="68"/>
    </row>
    <row r="174" spans="1:49" ht="16.5" thickBot="1">
      <c r="A174" s="28">
        <v>39845</v>
      </c>
      <c r="B174" s="29">
        <f t="shared" si="6"/>
        <v>2</v>
      </c>
      <c r="C174" s="29">
        <f t="shared" si="7"/>
        <v>1</v>
      </c>
      <c r="D174" s="29">
        <f t="shared" si="8"/>
        <v>2009</v>
      </c>
      <c r="E174" s="11">
        <v>83.282188046100003</v>
      </c>
      <c r="F174" s="26">
        <v>7282</v>
      </c>
      <c r="G174" s="26">
        <v>5839</v>
      </c>
      <c r="H174" s="46">
        <v>3736</v>
      </c>
      <c r="I174" s="47">
        <v>1194</v>
      </c>
      <c r="J174" s="16">
        <v>111.3</v>
      </c>
      <c r="K174" s="42">
        <v>165.2</v>
      </c>
      <c r="L174" s="23">
        <v>39.087368421052631</v>
      </c>
      <c r="M174" s="30">
        <v>86.32</v>
      </c>
      <c r="N174" s="30">
        <v>4.1030526315789482</v>
      </c>
      <c r="O174" s="12">
        <v>677.37736842105278</v>
      </c>
      <c r="P174" s="12">
        <v>616.32789473684227</v>
      </c>
      <c r="Q174" s="12">
        <v>1485.9768421052631</v>
      </c>
      <c r="R174" s="12">
        <v>805.22736842105257</v>
      </c>
      <c r="S174" s="34">
        <v>0.155</v>
      </c>
      <c r="T174" s="42">
        <v>88.6</v>
      </c>
      <c r="U174" s="42">
        <v>86.9</v>
      </c>
      <c r="V174" s="42">
        <v>76.599999999999994</v>
      </c>
      <c r="W174" s="42">
        <v>87.5</v>
      </c>
      <c r="X174" s="23">
        <f>[1]ישיר!D163/1000</f>
        <v>6967.1750000000002</v>
      </c>
      <c r="Y174" s="23">
        <v>4633.1459999999997</v>
      </c>
      <c r="Z174" s="23">
        <f>[1]עקיף!H163</f>
        <v>1194</v>
      </c>
      <c r="AA174" s="23">
        <f>[1]עקיף!P163</f>
        <v>770</v>
      </c>
      <c r="AB174" s="23">
        <f>[1]עקיף!Q163</f>
        <v>5700</v>
      </c>
      <c r="AF174" s="78"/>
      <c r="AG174" s="78">
        <v>2803.8</v>
      </c>
      <c r="AH174" s="62">
        <v>40808.027954999998</v>
      </c>
      <c r="AI174" s="4">
        <v>207.1</v>
      </c>
      <c r="AJ174" s="69">
        <v>165.1</v>
      </c>
      <c r="AK174" s="68">
        <v>88.2</v>
      </c>
      <c r="AL174" s="74">
        <v>55.925508303966488</v>
      </c>
      <c r="AM174" s="72">
        <v>23760</v>
      </c>
      <c r="AT174" s="67"/>
      <c r="AU174" s="76"/>
      <c r="AV174" s="68"/>
      <c r="AW174" s="68"/>
    </row>
    <row r="175" spans="1:49" ht="16.5" thickBot="1">
      <c r="A175" s="28">
        <v>39873</v>
      </c>
      <c r="B175" s="29">
        <f t="shared" si="6"/>
        <v>3</v>
      </c>
      <c r="C175" s="29">
        <f t="shared" si="7"/>
        <v>1</v>
      </c>
      <c r="D175" s="29">
        <f t="shared" si="8"/>
        <v>2009</v>
      </c>
      <c r="E175" s="11">
        <v>83.696115422000005</v>
      </c>
      <c r="F175" s="26">
        <v>6972</v>
      </c>
      <c r="G175" s="26">
        <v>7457</v>
      </c>
      <c r="H175" s="46">
        <v>5192</v>
      </c>
      <c r="I175" s="47">
        <v>1324</v>
      </c>
      <c r="J175" s="16">
        <v>107.3</v>
      </c>
      <c r="K175" s="42">
        <v>163.30000000000001</v>
      </c>
      <c r="L175" s="23">
        <v>47.939090909090915</v>
      </c>
      <c r="M175" s="30">
        <v>83.74</v>
      </c>
      <c r="N175" s="30">
        <v>4.1589999999999998</v>
      </c>
      <c r="O175" s="12">
        <v>676.7590909090909</v>
      </c>
      <c r="P175" s="12">
        <v>613.67818181818177</v>
      </c>
      <c r="Q175" s="12">
        <v>1432.2331818181819</v>
      </c>
      <c r="R175" s="12">
        <v>757.12681818181841</v>
      </c>
      <c r="S175" s="34">
        <v>0.155</v>
      </c>
      <c r="T175" s="42">
        <v>90.3</v>
      </c>
      <c r="U175" s="42">
        <v>88.5</v>
      </c>
      <c r="V175" s="42">
        <v>75.2</v>
      </c>
      <c r="W175" s="42">
        <v>87.8</v>
      </c>
      <c r="X175" s="23">
        <f>[1]ישיר!D164/1000</f>
        <v>7037.8549999999996</v>
      </c>
      <c r="Y175" s="23">
        <v>4934.2330000000002</v>
      </c>
      <c r="Z175" s="23">
        <f>[1]עקיף!H164</f>
        <v>1324</v>
      </c>
      <c r="AA175" s="23">
        <f>[1]עקיף!P164</f>
        <v>1109</v>
      </c>
      <c r="AB175" s="23">
        <f>[1]עקיף!Q164</f>
        <v>7625</v>
      </c>
      <c r="AF175" s="78"/>
      <c r="AG175" s="78">
        <v>2798.5</v>
      </c>
      <c r="AH175" s="62">
        <v>44326.497846999999</v>
      </c>
      <c r="AI175" s="4">
        <v>209.9</v>
      </c>
      <c r="AJ175" s="69">
        <v>163.30000000000001</v>
      </c>
      <c r="AK175" s="68">
        <v>84.5</v>
      </c>
      <c r="AL175" s="74">
        <v>55.863211017947279</v>
      </c>
      <c r="AM175" s="72">
        <v>20376</v>
      </c>
      <c r="AT175" s="67"/>
      <c r="AU175" s="76"/>
      <c r="AV175" s="68"/>
      <c r="AW175" s="68"/>
    </row>
    <row r="176" spans="1:49" ht="16.5" thickBot="1">
      <c r="A176" s="28">
        <v>39904</v>
      </c>
      <c r="B176" s="29">
        <f t="shared" si="6"/>
        <v>4</v>
      </c>
      <c r="C176" s="29">
        <f t="shared" si="7"/>
        <v>2</v>
      </c>
      <c r="D176" s="29">
        <f t="shared" si="8"/>
        <v>2009</v>
      </c>
      <c r="E176" s="11">
        <v>84.523970173999999</v>
      </c>
      <c r="F176" s="26">
        <v>7807</v>
      </c>
      <c r="G176" s="26">
        <v>5964</v>
      </c>
      <c r="H176" s="46">
        <v>4111</v>
      </c>
      <c r="I176" s="44">
        <v>894</v>
      </c>
      <c r="J176" s="16">
        <v>115.47</v>
      </c>
      <c r="K176" s="42">
        <v>172.7</v>
      </c>
      <c r="L176" s="23">
        <v>49.646666666666661</v>
      </c>
      <c r="M176" s="30">
        <v>82.59</v>
      </c>
      <c r="N176" s="30">
        <v>4.1959374999999994</v>
      </c>
      <c r="O176" s="12">
        <v>774.05687499999999</v>
      </c>
      <c r="P176" s="12">
        <v>709.72250000000008</v>
      </c>
      <c r="Q176" s="12">
        <v>1641.1476190476187</v>
      </c>
      <c r="R176" s="12">
        <v>848.15190476190469</v>
      </c>
      <c r="S176" s="34">
        <v>0.155</v>
      </c>
      <c r="T176" s="42">
        <v>89.3</v>
      </c>
      <c r="U176" s="42">
        <v>90.8</v>
      </c>
      <c r="V176" s="42">
        <v>82.2</v>
      </c>
      <c r="W176" s="42">
        <v>88.5</v>
      </c>
      <c r="X176" s="23">
        <f>[1]ישיר!D165/1000</f>
        <v>7981.5940000000001</v>
      </c>
      <c r="Y176" s="23">
        <v>4713.2529999999997</v>
      </c>
      <c r="Z176" s="23">
        <f>[1]עקיף!H165</f>
        <v>894</v>
      </c>
      <c r="AA176" s="23">
        <f>[1]עקיף!P165</f>
        <v>917</v>
      </c>
      <c r="AB176" s="23">
        <f>[1]עקיף!Q165</f>
        <v>5922</v>
      </c>
      <c r="AF176" s="78"/>
      <c r="AG176" s="78">
        <v>2784.7</v>
      </c>
      <c r="AH176" s="62">
        <v>45247.763272999997</v>
      </c>
      <c r="AI176" s="4">
        <v>212.5</v>
      </c>
      <c r="AJ176" s="69">
        <v>172.7</v>
      </c>
      <c r="AK176" s="68">
        <v>84</v>
      </c>
      <c r="AL176" s="74">
        <v>56.24134893300036</v>
      </c>
      <c r="AM176" s="72">
        <v>24420</v>
      </c>
      <c r="AT176" s="67"/>
      <c r="AU176" s="76"/>
      <c r="AV176" s="68"/>
      <c r="AW176" s="68"/>
    </row>
    <row r="177" spans="1:49" ht="16.5" thickBot="1">
      <c r="A177" s="28">
        <v>39934</v>
      </c>
      <c r="B177" s="29">
        <f t="shared" si="6"/>
        <v>5</v>
      </c>
      <c r="C177" s="29">
        <f t="shared" si="7"/>
        <v>2</v>
      </c>
      <c r="D177" s="29">
        <f t="shared" si="8"/>
        <v>2009</v>
      </c>
      <c r="E177" s="11">
        <v>84.855112074800005</v>
      </c>
      <c r="F177" s="36">
        <v>7260</v>
      </c>
      <c r="G177" s="26">
        <v>7191</v>
      </c>
      <c r="H177" s="46">
        <v>4772</v>
      </c>
      <c r="I177" s="44">
        <v>1135</v>
      </c>
      <c r="J177" s="16">
        <v>118.13</v>
      </c>
      <c r="K177" s="42">
        <v>172.4</v>
      </c>
      <c r="L177" s="23">
        <v>59.028499999999994</v>
      </c>
      <c r="M177" s="30">
        <v>81.45</v>
      </c>
      <c r="N177" s="30">
        <v>4.0916315789473687</v>
      </c>
      <c r="O177" s="12">
        <v>843.38499999999988</v>
      </c>
      <c r="P177" s="12">
        <v>771.76400000000001</v>
      </c>
      <c r="Q177" s="12">
        <v>1726.0775000000001</v>
      </c>
      <c r="R177" s="12">
        <v>902.40849999999989</v>
      </c>
      <c r="S177" s="34">
        <v>0.155</v>
      </c>
      <c r="T177" s="42">
        <v>89.4</v>
      </c>
      <c r="U177" s="42">
        <v>89.8</v>
      </c>
      <c r="V177" s="42">
        <v>77.900000000000006</v>
      </c>
      <c r="W177" s="42">
        <v>90.1</v>
      </c>
      <c r="X177" s="23">
        <f>[1]ישיר!D166/1000</f>
        <v>7228.7460000000001</v>
      </c>
      <c r="Y177" s="23">
        <v>4879.3280000000004</v>
      </c>
      <c r="Z177" s="23">
        <f>[1]עקיף!H166</f>
        <v>1135</v>
      </c>
      <c r="AA177" s="23">
        <f>[1]עקיף!P166</f>
        <v>1263</v>
      </c>
      <c r="AB177" s="23">
        <f>[1]עקיף!Q166</f>
        <v>7170</v>
      </c>
      <c r="AF177" s="78"/>
      <c r="AG177" s="78">
        <v>2800.4</v>
      </c>
      <c r="AH177" s="62">
        <v>47725.839315999998</v>
      </c>
      <c r="AI177" s="4">
        <v>215.5</v>
      </c>
      <c r="AJ177" s="69">
        <v>172.4</v>
      </c>
      <c r="AK177" s="68">
        <v>84.3</v>
      </c>
      <c r="AL177" s="74">
        <v>56.793020206971015</v>
      </c>
      <c r="AM177" s="72">
        <v>28560</v>
      </c>
      <c r="AT177" s="67"/>
      <c r="AU177" s="76"/>
      <c r="AV177" s="68"/>
      <c r="AW177" s="68"/>
    </row>
    <row r="178" spans="1:49" ht="16.5" thickBot="1">
      <c r="A178" s="28">
        <v>39965</v>
      </c>
      <c r="B178" s="29">
        <f t="shared" si="6"/>
        <v>6</v>
      </c>
      <c r="C178" s="29">
        <f t="shared" si="7"/>
        <v>2</v>
      </c>
      <c r="D178" s="29">
        <f t="shared" si="8"/>
        <v>2009</v>
      </c>
      <c r="E178" s="11">
        <v>85.600181351499998</v>
      </c>
      <c r="F178" s="36">
        <v>6281</v>
      </c>
      <c r="G178" s="26">
        <v>6340</v>
      </c>
      <c r="H178" s="46">
        <v>3832</v>
      </c>
      <c r="I178" s="47">
        <v>1513</v>
      </c>
      <c r="J178" s="16">
        <v>121.1</v>
      </c>
      <c r="K178" s="42">
        <v>171.2</v>
      </c>
      <c r="L178" s="23">
        <v>69.640909090909091</v>
      </c>
      <c r="M178" s="30">
        <v>82.09</v>
      </c>
      <c r="N178" s="30">
        <v>3.9436363636363638</v>
      </c>
      <c r="O178" s="12">
        <v>866.66272727272735</v>
      </c>
      <c r="P178" s="12">
        <v>801.79272727272723</v>
      </c>
      <c r="Q178" s="12">
        <v>1826.9881818181818</v>
      </c>
      <c r="R178" s="12">
        <v>926.1149999999999</v>
      </c>
      <c r="S178" s="34">
        <v>0.155</v>
      </c>
      <c r="T178" s="42">
        <v>92.5</v>
      </c>
      <c r="U178" s="42">
        <v>91.9</v>
      </c>
      <c r="V178" s="42">
        <v>78.5</v>
      </c>
      <c r="W178" s="42">
        <v>91.1</v>
      </c>
      <c r="X178" s="23">
        <f>[1]ישיר!D167/1000</f>
        <v>6141.4690000000001</v>
      </c>
      <c r="Y178" s="23">
        <v>4364.4290000000001</v>
      </c>
      <c r="Z178" s="23">
        <f>[1]עקיף!H167</f>
        <v>1513</v>
      </c>
      <c r="AA178" s="23">
        <f>[1]עקיף!P167</f>
        <v>983</v>
      </c>
      <c r="AB178" s="23">
        <f>[1]עקיף!Q167</f>
        <v>6328</v>
      </c>
      <c r="AF178" s="78"/>
      <c r="AG178" s="78">
        <v>2807.9</v>
      </c>
      <c r="AH178" s="62">
        <v>50271.648163999998</v>
      </c>
      <c r="AI178" s="4">
        <v>220.6</v>
      </c>
      <c r="AJ178" s="69">
        <v>171.1</v>
      </c>
      <c r="AK178" s="68">
        <v>86.7</v>
      </c>
      <c r="AL178" s="74">
        <v>57.309585858176682</v>
      </c>
      <c r="AM178" s="72">
        <v>28560</v>
      </c>
      <c r="AT178" s="67"/>
      <c r="AU178" s="76"/>
      <c r="AV178" s="68"/>
      <c r="AW178" s="68"/>
    </row>
    <row r="179" spans="1:49" ht="16.5" thickBot="1">
      <c r="A179" s="28">
        <v>39995</v>
      </c>
      <c r="B179" s="29">
        <f t="shared" si="6"/>
        <v>7</v>
      </c>
      <c r="C179" s="29">
        <f t="shared" si="7"/>
        <v>3</v>
      </c>
      <c r="D179" s="29">
        <f t="shared" si="8"/>
        <v>2009</v>
      </c>
      <c r="E179" s="11">
        <v>86.510821578700003</v>
      </c>
      <c r="F179" s="36">
        <v>7411</v>
      </c>
      <c r="G179" s="26">
        <v>10218</v>
      </c>
      <c r="H179" s="46">
        <v>6710</v>
      </c>
      <c r="I179" s="47">
        <v>2189</v>
      </c>
      <c r="J179" s="16">
        <v>125.2</v>
      </c>
      <c r="K179" s="42">
        <v>171.6</v>
      </c>
      <c r="L179" s="23">
        <v>64.152272727272731</v>
      </c>
      <c r="M179" s="30">
        <v>84.1</v>
      </c>
      <c r="N179" s="30">
        <v>3.8923636363636374</v>
      </c>
      <c r="O179" s="12">
        <v>883.68619047619063</v>
      </c>
      <c r="P179" s="12">
        <v>820.39571428571435</v>
      </c>
      <c r="Q179" s="12">
        <v>1873.8377272727275</v>
      </c>
      <c r="R179" s="12">
        <v>935.82136363636346</v>
      </c>
      <c r="S179" s="45">
        <v>0.16500000000000001</v>
      </c>
      <c r="T179" s="42">
        <v>87.4</v>
      </c>
      <c r="U179" s="42">
        <v>91.1</v>
      </c>
      <c r="V179" s="42">
        <v>77</v>
      </c>
      <c r="W179" s="42">
        <v>90.3</v>
      </c>
      <c r="X179" s="23">
        <f>[1]ישיר!D168/1000</f>
        <v>7660.1390000000001</v>
      </c>
      <c r="Y179" s="23">
        <v>5385.5360000000001</v>
      </c>
      <c r="Z179" s="23">
        <f>[1]עקיף!H168</f>
        <v>2189</v>
      </c>
      <c r="AA179" s="23">
        <f>[1]עקיף!P168</f>
        <v>1345</v>
      </c>
      <c r="AB179" s="23">
        <f>[1]עקיף!Q168</f>
        <v>10244</v>
      </c>
      <c r="AF179" s="78"/>
      <c r="AG179" s="78">
        <v>2806.2</v>
      </c>
      <c r="AH179" s="62">
        <v>52380.102602999999</v>
      </c>
      <c r="AI179" s="4">
        <v>225.3</v>
      </c>
      <c r="AJ179" s="69">
        <v>171.6</v>
      </c>
      <c r="AK179" s="68">
        <v>85.7</v>
      </c>
      <c r="AL179" s="74">
        <v>57.532255644972572</v>
      </c>
      <c r="AM179" s="72">
        <v>18696</v>
      </c>
      <c r="AT179" s="67"/>
      <c r="AU179" s="76"/>
      <c r="AV179" s="68"/>
      <c r="AW179" s="68"/>
    </row>
    <row r="180" spans="1:49" ht="16.5" thickBot="1">
      <c r="A180" s="28">
        <v>40026</v>
      </c>
      <c r="B180" s="29">
        <f t="shared" si="6"/>
        <v>8</v>
      </c>
      <c r="C180" s="29">
        <f t="shared" si="7"/>
        <v>3</v>
      </c>
      <c r="D180" s="29">
        <f t="shared" si="8"/>
        <v>2009</v>
      </c>
      <c r="E180" s="11">
        <v>86.924748954600005</v>
      </c>
      <c r="F180" s="36">
        <v>6891</v>
      </c>
      <c r="G180" s="26">
        <v>7285</v>
      </c>
      <c r="H180" s="46">
        <v>4841</v>
      </c>
      <c r="I180" s="47">
        <v>1175</v>
      </c>
      <c r="J180" s="16">
        <v>133.61000000000001</v>
      </c>
      <c r="K180" s="42">
        <v>171.4</v>
      </c>
      <c r="L180" s="23">
        <v>71.044761904761899</v>
      </c>
      <c r="M180" s="30">
        <v>86.01</v>
      </c>
      <c r="N180" s="30">
        <v>3.8320476190476196</v>
      </c>
      <c r="O180" s="12">
        <v>961.09954545454525</v>
      </c>
      <c r="P180" s="12">
        <v>897.25681818181806</v>
      </c>
      <c r="Q180" s="12">
        <v>1997.1552380952382</v>
      </c>
      <c r="R180" s="12">
        <v>1009.7247619047617</v>
      </c>
      <c r="S180" s="34">
        <v>0.16500000000000001</v>
      </c>
      <c r="T180" s="42">
        <v>92</v>
      </c>
      <c r="U180" s="42">
        <v>93.6</v>
      </c>
      <c r="V180" s="42">
        <v>78.400000000000006</v>
      </c>
      <c r="W180" s="42">
        <v>91.7</v>
      </c>
      <c r="X180" s="23">
        <f>[1]ישיר!D169/1000</f>
        <v>6789.1379999999999</v>
      </c>
      <c r="Y180" s="23">
        <v>4831.3370000000004</v>
      </c>
      <c r="Z180" s="23">
        <f>[1]עקיף!H169</f>
        <v>1175</v>
      </c>
      <c r="AA180" s="23">
        <f>[1]עקיף!P169</f>
        <v>1248</v>
      </c>
      <c r="AB180" s="23">
        <f>[1]עקיף!Q169</f>
        <v>7264</v>
      </c>
      <c r="AF180" s="78"/>
      <c r="AG180" s="78">
        <v>2821.6</v>
      </c>
      <c r="AH180" s="62">
        <v>57767.02824</v>
      </c>
      <c r="AI180" s="4">
        <v>228.1</v>
      </c>
      <c r="AJ180" s="69">
        <v>171.4</v>
      </c>
      <c r="AK180" s="68">
        <v>89.8</v>
      </c>
      <c r="AL180" s="74">
        <v>58.09576764589368</v>
      </c>
      <c r="AM180" s="72">
        <v>29232</v>
      </c>
      <c r="AT180" s="67"/>
      <c r="AU180" s="76"/>
      <c r="AV180" s="68"/>
      <c r="AW180" s="68"/>
    </row>
    <row r="181" spans="1:49" ht="16.5" thickBot="1">
      <c r="A181" s="28">
        <v>40057</v>
      </c>
      <c r="B181" s="29">
        <f t="shared" si="6"/>
        <v>9</v>
      </c>
      <c r="C181" s="29">
        <f t="shared" si="7"/>
        <v>3</v>
      </c>
      <c r="D181" s="29">
        <f t="shared" si="8"/>
        <v>2009</v>
      </c>
      <c r="E181" s="11">
        <v>86.676392529099999</v>
      </c>
      <c r="F181" s="36">
        <v>7457</v>
      </c>
      <c r="G181" s="26">
        <v>7540</v>
      </c>
      <c r="H181" s="46">
        <v>5471</v>
      </c>
      <c r="I181" s="47">
        <v>886</v>
      </c>
      <c r="J181" s="16">
        <v>133.78</v>
      </c>
      <c r="K181" s="42">
        <v>172.2</v>
      </c>
      <c r="L181" s="23">
        <v>69.408095238095243</v>
      </c>
      <c r="M181" s="30">
        <v>86.7</v>
      </c>
      <c r="N181" s="30">
        <v>3.7658499999999995</v>
      </c>
      <c r="O181" s="12">
        <v>971.5852631578947</v>
      </c>
      <c r="P181" s="12">
        <v>904.94157894736838</v>
      </c>
      <c r="Q181" s="12">
        <v>2084.7471428571425</v>
      </c>
      <c r="R181" s="12">
        <v>1044.5523809523809</v>
      </c>
      <c r="S181" s="34">
        <v>0.16500000000000001</v>
      </c>
      <c r="T181" s="42">
        <v>91.5</v>
      </c>
      <c r="U181" s="42">
        <v>92</v>
      </c>
      <c r="V181" s="42">
        <v>77</v>
      </c>
      <c r="W181" s="42">
        <v>90</v>
      </c>
      <c r="X181" s="23">
        <f>[1]ישיר!D170/1000</f>
        <v>7536.1469999999999</v>
      </c>
      <c r="Y181" s="23">
        <v>4697.3590000000004</v>
      </c>
      <c r="Z181" s="23">
        <f>[1]עקיף!H170</f>
        <v>886</v>
      </c>
      <c r="AA181" s="23">
        <f>[1]עקיף!P170</f>
        <v>1210</v>
      </c>
      <c r="AB181" s="23">
        <f>[1]עקיף!Q170</f>
        <v>7567</v>
      </c>
      <c r="AF181" s="78"/>
      <c r="AG181" s="78">
        <v>2831.1</v>
      </c>
      <c r="AH181" s="62">
        <v>59962.967535000003</v>
      </c>
      <c r="AI181" s="4">
        <v>231.9</v>
      </c>
      <c r="AJ181" s="69">
        <v>172.2</v>
      </c>
      <c r="AK181" s="68">
        <v>91.5</v>
      </c>
      <c r="AL181" s="74">
        <v>58.36054966729801</v>
      </c>
      <c r="AM181" s="72">
        <v>26460</v>
      </c>
      <c r="AT181" s="67"/>
      <c r="AU181" s="76"/>
      <c r="AV181" s="68"/>
      <c r="AW181" s="68"/>
    </row>
    <row r="182" spans="1:49" ht="16.5" thickBot="1">
      <c r="A182" s="28">
        <v>40087</v>
      </c>
      <c r="B182" s="29">
        <f t="shared" si="6"/>
        <v>10</v>
      </c>
      <c r="C182" s="29">
        <f t="shared" si="7"/>
        <v>4</v>
      </c>
      <c r="D182" s="29">
        <f t="shared" si="8"/>
        <v>2009</v>
      </c>
      <c r="E182" s="11">
        <v>86.841963479399993</v>
      </c>
      <c r="F182" s="36">
        <v>6857</v>
      </c>
      <c r="G182" s="26">
        <v>6695</v>
      </c>
      <c r="H182" s="46">
        <v>4242</v>
      </c>
      <c r="I182" s="47">
        <v>1146</v>
      </c>
      <c r="J182" s="16">
        <v>133.08000000000001</v>
      </c>
      <c r="K182" s="42">
        <v>179.1</v>
      </c>
      <c r="L182" s="23">
        <v>75.71545454545452</v>
      </c>
      <c r="M182" s="30">
        <v>87.06</v>
      </c>
      <c r="N182" s="30">
        <v>3.7261818181818187</v>
      </c>
      <c r="O182" s="12">
        <v>1033.915238095238</v>
      </c>
      <c r="P182" s="12">
        <v>965.12333333333356</v>
      </c>
      <c r="Q182" s="12">
        <v>2122.8495454545455</v>
      </c>
      <c r="R182" s="12">
        <v>1067.6636363636362</v>
      </c>
      <c r="S182" s="34">
        <v>0.16500000000000001</v>
      </c>
      <c r="T182" s="42">
        <v>92.4</v>
      </c>
      <c r="U182" s="42">
        <v>93.5</v>
      </c>
      <c r="V182" s="42">
        <v>82.2</v>
      </c>
      <c r="W182" s="42">
        <v>91.8</v>
      </c>
      <c r="X182" s="23">
        <f>[1]ישיר!D171/1000</f>
        <v>6975.0209999999997</v>
      </c>
      <c r="Y182" s="23">
        <v>4599.7359999999999</v>
      </c>
      <c r="Z182" s="23">
        <f>[1]עקיף!H171</f>
        <v>1146</v>
      </c>
      <c r="AA182" s="23">
        <f>[1]עקיף!P171</f>
        <v>1164</v>
      </c>
      <c r="AB182" s="23">
        <f>[1]עקיף!Q171</f>
        <v>6552</v>
      </c>
      <c r="AF182" s="78"/>
      <c r="AG182" s="78">
        <v>2842.7</v>
      </c>
      <c r="AH182" s="62">
        <v>61195.659249999997</v>
      </c>
      <c r="AI182" s="4">
        <v>237.1</v>
      </c>
      <c r="AJ182" s="69">
        <v>179.1</v>
      </c>
      <c r="AK182" s="68">
        <v>93.1</v>
      </c>
      <c r="AL182" s="74">
        <v>58.67817400231683</v>
      </c>
      <c r="AM182" s="72">
        <v>31020</v>
      </c>
      <c r="AT182" s="67"/>
      <c r="AU182" s="76"/>
      <c r="AV182" s="68"/>
      <c r="AW182" s="68"/>
    </row>
    <row r="183" spans="1:49" ht="16.5" thickBot="1">
      <c r="A183" s="28">
        <v>40118</v>
      </c>
      <c r="B183" s="29">
        <f t="shared" si="6"/>
        <v>11</v>
      </c>
      <c r="C183" s="29">
        <f t="shared" si="7"/>
        <v>4</v>
      </c>
      <c r="D183" s="29">
        <f t="shared" si="8"/>
        <v>2009</v>
      </c>
      <c r="E183" s="11">
        <v>87.090319905000001</v>
      </c>
      <c r="F183" s="36">
        <v>7649</v>
      </c>
      <c r="G183" s="26">
        <v>8327</v>
      </c>
      <c r="H183" s="46">
        <v>5850</v>
      </c>
      <c r="I183" s="47">
        <v>1107</v>
      </c>
      <c r="J183" s="16">
        <v>132.71</v>
      </c>
      <c r="K183" s="42">
        <v>176.2</v>
      </c>
      <c r="L183" s="23">
        <v>77.989999999999995</v>
      </c>
      <c r="M183" s="30">
        <v>87</v>
      </c>
      <c r="N183" s="30">
        <v>3.7789523809523806</v>
      </c>
      <c r="O183" s="12">
        <v>1052.699090909091</v>
      </c>
      <c r="P183" s="12">
        <v>984.05227272727268</v>
      </c>
      <c r="Q183" s="12">
        <v>2143.5325000000003</v>
      </c>
      <c r="R183" s="12">
        <v>1088.0690000000002</v>
      </c>
      <c r="S183" s="34">
        <v>0.16500000000000001</v>
      </c>
      <c r="T183" s="42">
        <v>93.8</v>
      </c>
      <c r="U183" s="42">
        <v>94.9</v>
      </c>
      <c r="V183" s="42">
        <v>80.3</v>
      </c>
      <c r="W183" s="42">
        <v>90.4</v>
      </c>
      <c r="X183" s="23">
        <f>[1]ישיר!D172/1000</f>
        <v>7861.2939999999999</v>
      </c>
      <c r="Y183" s="23">
        <v>4734.799</v>
      </c>
      <c r="Z183" s="23">
        <f>[1]עקיף!H172</f>
        <v>1107</v>
      </c>
      <c r="AA183" s="23">
        <f>[1]עקיף!P172</f>
        <v>1328</v>
      </c>
      <c r="AB183" s="23">
        <f>[1]עקיף!Q172</f>
        <v>8285</v>
      </c>
      <c r="AF183" s="78"/>
      <c r="AG183" s="78">
        <v>2844.6</v>
      </c>
      <c r="AH183" s="62">
        <v>61544.184219000002</v>
      </c>
      <c r="AI183" s="4">
        <v>239.7</v>
      </c>
      <c r="AJ183" s="69">
        <v>176.2</v>
      </c>
      <c r="AK183" s="68">
        <v>92.8</v>
      </c>
      <c r="AL183" s="74">
        <v>58.7682158242702</v>
      </c>
      <c r="AM183" s="72">
        <v>24024</v>
      </c>
      <c r="AT183" s="67"/>
      <c r="AU183" s="76"/>
      <c r="AV183" s="68"/>
      <c r="AW183" s="68"/>
    </row>
    <row r="184" spans="1:49" ht="16.5" thickBot="1">
      <c r="A184" s="28">
        <v>40148</v>
      </c>
      <c r="B184" s="29">
        <f t="shared" si="6"/>
        <v>12</v>
      </c>
      <c r="C184" s="29">
        <f t="shared" si="7"/>
        <v>4</v>
      </c>
      <c r="D184" s="29">
        <f t="shared" si="8"/>
        <v>2009</v>
      </c>
      <c r="E184" s="11">
        <v>87.090319905000001</v>
      </c>
      <c r="F184" s="26">
        <v>7374.3</v>
      </c>
      <c r="G184" s="26">
        <v>7019.3</v>
      </c>
      <c r="H184" s="46">
        <v>4357</v>
      </c>
      <c r="I184" s="47">
        <v>1272</v>
      </c>
      <c r="J184" s="16">
        <v>133.4</v>
      </c>
      <c r="K184" s="42">
        <v>176</v>
      </c>
      <c r="L184" s="23">
        <v>74.47</v>
      </c>
      <c r="M184" s="30">
        <v>85.44</v>
      </c>
      <c r="N184" s="30">
        <v>3.7896363636363644</v>
      </c>
      <c r="O184" s="12">
        <v>1123.1878260869564</v>
      </c>
      <c r="P184" s="12">
        <v>1043.3682608695651</v>
      </c>
      <c r="Q184" s="12">
        <v>2220.6</v>
      </c>
      <c r="R184" s="12">
        <v>1110.3777272727273</v>
      </c>
      <c r="S184" s="34">
        <v>0.16500000000000001</v>
      </c>
      <c r="T184" s="42">
        <v>94.2</v>
      </c>
      <c r="U184" s="42">
        <v>96.1</v>
      </c>
      <c r="V184" s="42">
        <v>79</v>
      </c>
      <c r="W184" s="42">
        <v>91.4</v>
      </c>
      <c r="X184" s="23">
        <f>[1]ישיר!D173/1000</f>
        <v>6644.9390000000003</v>
      </c>
      <c r="Y184" s="23">
        <v>4782.134</v>
      </c>
      <c r="Z184" s="23">
        <f>[1]עקיף!H173</f>
        <v>1272</v>
      </c>
      <c r="AA184" s="23">
        <f>[1]עקיף!P173</f>
        <v>1297</v>
      </c>
      <c r="AB184" s="23">
        <f>[1]עקיף!Q173</f>
        <v>6926</v>
      </c>
      <c r="AF184" s="78"/>
      <c r="AG184" s="78">
        <v>2858.1</v>
      </c>
      <c r="AH184" s="62">
        <v>60612.455128000001</v>
      </c>
      <c r="AI184" s="4">
        <v>244.3</v>
      </c>
      <c r="AJ184" s="69">
        <v>176</v>
      </c>
      <c r="AK184" s="68">
        <v>90.5</v>
      </c>
      <c r="AL184" s="74">
        <v>58.883551357968614</v>
      </c>
      <c r="AM184" s="72">
        <v>17904</v>
      </c>
      <c r="AT184" s="67"/>
      <c r="AU184" s="76"/>
      <c r="AV184" s="68"/>
      <c r="AW184" s="68"/>
    </row>
    <row r="185" spans="1:49" ht="16.5" thickBot="1">
      <c r="A185" s="28">
        <v>40179</v>
      </c>
      <c r="B185" s="29">
        <f t="shared" si="6"/>
        <v>1</v>
      </c>
      <c r="C185" s="29">
        <f t="shared" si="7"/>
        <v>1</v>
      </c>
      <c r="D185" s="29">
        <f t="shared" si="8"/>
        <v>2010</v>
      </c>
      <c r="E185" s="11">
        <v>86.510821578700003</v>
      </c>
      <c r="F185" s="23">
        <v>7978</v>
      </c>
      <c r="G185" s="23">
        <v>8815</v>
      </c>
      <c r="H185" s="46">
        <v>6481</v>
      </c>
      <c r="I185" s="47">
        <v>1224</v>
      </c>
      <c r="J185" s="16">
        <v>133.80000000000001</v>
      </c>
      <c r="K185" s="42">
        <v>181.6</v>
      </c>
      <c r="L185" s="23">
        <v>78.32578947368421</v>
      </c>
      <c r="M185" s="30">
        <v>85.79</v>
      </c>
      <c r="N185" s="30">
        <v>3.7125499999999994</v>
      </c>
      <c r="O185" s="12">
        <v>1151.1300000000001</v>
      </c>
      <c r="P185" s="12">
        <v>1083.7842857142857</v>
      </c>
      <c r="Q185" s="12">
        <v>2267.7747368421055</v>
      </c>
      <c r="R185" s="12">
        <v>1123.5815789473684</v>
      </c>
      <c r="S185" s="31">
        <v>0.16</v>
      </c>
      <c r="T185" s="42">
        <v>96.7</v>
      </c>
      <c r="U185" s="42">
        <v>97</v>
      </c>
      <c r="V185" s="42">
        <v>81</v>
      </c>
      <c r="W185" s="42">
        <v>95.6</v>
      </c>
      <c r="X185" s="23">
        <f>[1]ישיר!D174/1000</f>
        <v>8856.8709999999992</v>
      </c>
      <c r="Y185" s="23">
        <v>6165.942</v>
      </c>
      <c r="Z185" s="23">
        <f>[1]עקיף!H174</f>
        <v>1224</v>
      </c>
      <c r="AA185" s="23">
        <f>[1]עקיף!P174</f>
        <v>1457</v>
      </c>
      <c r="AB185" s="23">
        <f>[1]עקיף!Q174</f>
        <v>9162</v>
      </c>
      <c r="AF185" s="78"/>
      <c r="AG185" s="78">
        <v>2873.8</v>
      </c>
      <c r="AH185" s="62">
        <v>61600.787449000003</v>
      </c>
      <c r="AI185" s="4">
        <v>247.1</v>
      </c>
      <c r="AJ185" s="69">
        <v>181.5</v>
      </c>
      <c r="AK185" s="68">
        <v>96.9</v>
      </c>
      <c r="AL185" s="74">
        <v>59.337588246451567</v>
      </c>
      <c r="AM185" s="72">
        <v>22380</v>
      </c>
      <c r="AT185" s="67"/>
      <c r="AU185" s="76"/>
      <c r="AV185" s="68"/>
      <c r="AW185" s="68"/>
    </row>
    <row r="186" spans="1:49" ht="16.5" thickBot="1">
      <c r="A186" s="28">
        <v>40210</v>
      </c>
      <c r="B186" s="29">
        <f t="shared" si="6"/>
        <v>2</v>
      </c>
      <c r="C186" s="29">
        <f t="shared" si="7"/>
        <v>1</v>
      </c>
      <c r="D186" s="29">
        <f t="shared" si="8"/>
        <v>2010</v>
      </c>
      <c r="E186" s="11">
        <v>86.262465153099996</v>
      </c>
      <c r="F186" s="23">
        <v>7594</v>
      </c>
      <c r="G186" s="23">
        <v>6606</v>
      </c>
      <c r="H186" s="46">
        <v>4541</v>
      </c>
      <c r="I186" s="47">
        <v>1315</v>
      </c>
      <c r="J186" s="16">
        <v>134.9</v>
      </c>
      <c r="K186" s="42">
        <v>175.1</v>
      </c>
      <c r="L186" s="23">
        <v>76.387368421052642</v>
      </c>
      <c r="M186" s="30">
        <v>87.38</v>
      </c>
      <c r="N186" s="30">
        <v>3.7465500000000005</v>
      </c>
      <c r="O186" s="12">
        <v>1149.3663157894739</v>
      </c>
      <c r="P186" s="12">
        <v>1082.623157894737</v>
      </c>
      <c r="Q186" s="12">
        <v>2194.44</v>
      </c>
      <c r="R186" s="12">
        <v>1089.1600000000001</v>
      </c>
      <c r="S186" s="34">
        <v>0.16</v>
      </c>
      <c r="T186" s="42">
        <v>96</v>
      </c>
      <c r="U186" s="42">
        <v>97.6</v>
      </c>
      <c r="V186" s="42">
        <v>80.2</v>
      </c>
      <c r="W186" s="42">
        <v>96.1</v>
      </c>
      <c r="X186" s="23">
        <f>[1]ישיר!D175/1000</f>
        <v>7740.6729999999998</v>
      </c>
      <c r="Y186" s="23">
        <v>5024.1940000000004</v>
      </c>
      <c r="Z186" s="23">
        <f>[1]עקיף!H175</f>
        <v>1315</v>
      </c>
      <c r="AA186" s="23">
        <f>[1]עקיף!P175</f>
        <v>861</v>
      </c>
      <c r="AB186" s="23">
        <f>[1]עקיף!Q175</f>
        <v>6717</v>
      </c>
      <c r="AF186" s="78"/>
      <c r="AG186" s="78">
        <v>2885.8</v>
      </c>
      <c r="AH186" s="62">
        <v>60728.883183999998</v>
      </c>
      <c r="AI186" s="4">
        <v>250.5</v>
      </c>
      <c r="AJ186" s="69">
        <v>175.1</v>
      </c>
      <c r="AK186" s="68">
        <v>96.9</v>
      </c>
      <c r="AL186" s="74">
        <v>59.632293598523887</v>
      </c>
      <c r="AM186" s="72">
        <v>22368</v>
      </c>
      <c r="AT186" s="67"/>
      <c r="AU186" s="76"/>
      <c r="AV186" s="68"/>
      <c r="AW186" s="68"/>
    </row>
    <row r="187" spans="1:49" ht="16.5" thickBot="1">
      <c r="A187" s="28">
        <v>40238</v>
      </c>
      <c r="B187" s="29">
        <f t="shared" si="6"/>
        <v>3</v>
      </c>
      <c r="C187" s="29">
        <f t="shared" si="7"/>
        <v>1</v>
      </c>
      <c r="D187" s="29">
        <f t="shared" si="8"/>
        <v>2010</v>
      </c>
      <c r="E187" s="11">
        <v>86.345250628299993</v>
      </c>
      <c r="F187" s="23">
        <v>7795</v>
      </c>
      <c r="G187" s="23">
        <v>8571</v>
      </c>
      <c r="H187" s="46">
        <v>5787</v>
      </c>
      <c r="I187" s="47">
        <v>1314</v>
      </c>
      <c r="J187" s="16">
        <v>135</v>
      </c>
      <c r="K187" s="42">
        <v>187.8</v>
      </c>
      <c r="L187" s="23">
        <v>81.203478260869574</v>
      </c>
      <c r="M187" s="30">
        <v>87.52</v>
      </c>
      <c r="N187" s="30">
        <v>3.7438999999999991</v>
      </c>
      <c r="O187" s="12">
        <v>1211.2114285714285</v>
      </c>
      <c r="P187" s="12">
        <v>1144.1576190476189</v>
      </c>
      <c r="Q187" s="12">
        <v>2362.2439130434782</v>
      </c>
      <c r="R187" s="12">
        <v>1152.0486956521738</v>
      </c>
      <c r="S187" s="34">
        <v>0.16</v>
      </c>
      <c r="T187" s="42">
        <v>97.7</v>
      </c>
      <c r="U187" s="42">
        <v>98.8</v>
      </c>
      <c r="V187" s="42">
        <v>82.6</v>
      </c>
      <c r="W187" s="42">
        <v>94.6</v>
      </c>
      <c r="X187" s="23">
        <f>[1]ישיר!D176/1000</f>
        <v>7846.67</v>
      </c>
      <c r="Y187" s="23">
        <v>4955.3180000000002</v>
      </c>
      <c r="Z187" s="23">
        <f>[1]עקיף!H176</f>
        <v>1314</v>
      </c>
      <c r="AA187" s="23">
        <f>[1]עקיף!P176</f>
        <v>1419</v>
      </c>
      <c r="AB187" s="23">
        <f>[1]עקיף!Q176</f>
        <v>8520</v>
      </c>
      <c r="AF187" s="78"/>
      <c r="AG187" s="78">
        <v>2887.6</v>
      </c>
      <c r="AH187" s="62">
        <v>62475.273461999997</v>
      </c>
      <c r="AI187" s="4">
        <v>251.1</v>
      </c>
      <c r="AJ187" s="69">
        <v>187.8</v>
      </c>
      <c r="AK187" s="68">
        <v>98.1</v>
      </c>
      <c r="AL187" s="74">
        <v>60.145197010112298</v>
      </c>
      <c r="AM187" s="72">
        <v>23592</v>
      </c>
      <c r="AT187" s="67"/>
      <c r="AU187" s="76"/>
      <c r="AV187" s="68"/>
      <c r="AW187" s="68"/>
    </row>
    <row r="188" spans="1:49" ht="16.5" thickBot="1">
      <c r="A188" s="28">
        <v>40269</v>
      </c>
      <c r="B188" s="29">
        <f t="shared" si="6"/>
        <v>4</v>
      </c>
      <c r="C188" s="29">
        <f t="shared" si="7"/>
        <v>2</v>
      </c>
      <c r="D188" s="29">
        <f t="shared" si="8"/>
        <v>2010</v>
      </c>
      <c r="E188" s="11">
        <v>87.090319905000001</v>
      </c>
      <c r="F188" s="23">
        <v>7663</v>
      </c>
      <c r="G188" s="23">
        <v>7047</v>
      </c>
      <c r="H188" s="46">
        <v>4554</v>
      </c>
      <c r="I188" s="47">
        <v>1144</v>
      </c>
      <c r="J188" s="16">
        <v>138.93</v>
      </c>
      <c r="K188" s="42">
        <v>181.3</v>
      </c>
      <c r="L188" s="23">
        <v>84.292857142857144</v>
      </c>
      <c r="M188" s="30">
        <v>87.32</v>
      </c>
      <c r="N188" s="30">
        <v>3.7125789473684203</v>
      </c>
      <c r="O188" s="12">
        <v>1211.8688235294119</v>
      </c>
      <c r="P188" s="12">
        <v>1139.359411764706</v>
      </c>
      <c r="Q188" s="12">
        <v>2475.7199999999998</v>
      </c>
      <c r="R188" s="12">
        <v>1197.3161904761905</v>
      </c>
      <c r="S188" s="34">
        <v>0.16</v>
      </c>
      <c r="T188" s="42">
        <v>96.9</v>
      </c>
      <c r="U188" s="42">
        <v>96.4</v>
      </c>
      <c r="V188" s="42">
        <v>77</v>
      </c>
      <c r="W188" s="42">
        <v>94.9</v>
      </c>
      <c r="X188" s="23">
        <f>[1]ישיר!D177/1000</f>
        <v>7897.049</v>
      </c>
      <c r="Y188" s="23">
        <v>5318.5720000000001</v>
      </c>
      <c r="Z188" s="23">
        <f>[1]עקיף!H177</f>
        <v>1144</v>
      </c>
      <c r="AA188" s="23">
        <f>[1]עקיף!P177</f>
        <v>1178</v>
      </c>
      <c r="AB188" s="23">
        <f>[1]עקיף!Q177</f>
        <v>6876</v>
      </c>
      <c r="AF188" s="78"/>
      <c r="AG188" s="78">
        <v>2906.5</v>
      </c>
      <c r="AH188" s="62">
        <v>64472.892079999998</v>
      </c>
      <c r="AI188" s="4">
        <v>254.6</v>
      </c>
      <c r="AJ188" s="69">
        <v>181.4</v>
      </c>
      <c r="AK188" s="68">
        <v>101.2</v>
      </c>
      <c r="AL188" s="74">
        <v>60.249897936571884</v>
      </c>
      <c r="AM188" s="72">
        <v>22236</v>
      </c>
      <c r="AT188" s="70"/>
      <c r="AU188" s="76"/>
      <c r="AV188" s="68"/>
      <c r="AW188" s="68"/>
    </row>
    <row r="189" spans="1:49" ht="16.5" thickBot="1">
      <c r="A189" s="28">
        <v>40299</v>
      </c>
      <c r="B189" s="29">
        <f t="shared" si="6"/>
        <v>5</v>
      </c>
      <c r="C189" s="29">
        <f t="shared" si="7"/>
        <v>2</v>
      </c>
      <c r="D189" s="29">
        <f t="shared" si="8"/>
        <v>2010</v>
      </c>
      <c r="E189" s="11">
        <v>87.421461805800007</v>
      </c>
      <c r="F189" s="23">
        <v>8621</v>
      </c>
      <c r="G189" s="23">
        <v>8656</v>
      </c>
      <c r="H189" s="46">
        <v>5724</v>
      </c>
      <c r="I189" s="47">
        <v>1526</v>
      </c>
      <c r="J189" s="16">
        <v>135</v>
      </c>
      <c r="K189" s="42">
        <v>180.3</v>
      </c>
      <c r="L189" s="23">
        <v>73.743499999999997</v>
      </c>
      <c r="M189" s="30">
        <v>88.45</v>
      </c>
      <c r="N189" s="30">
        <v>3.7854736842105265</v>
      </c>
      <c r="O189" s="12">
        <v>1130.2324999999998</v>
      </c>
      <c r="P189" s="12">
        <v>1055.6065000000003</v>
      </c>
      <c r="Q189" s="12">
        <v>2319.239</v>
      </c>
      <c r="R189" s="12">
        <v>1125.0620000000001</v>
      </c>
      <c r="S189" s="34">
        <v>0.16</v>
      </c>
      <c r="T189" s="42">
        <v>95.5</v>
      </c>
      <c r="U189" s="42">
        <v>94.2</v>
      </c>
      <c r="V189" s="42">
        <v>78.8</v>
      </c>
      <c r="W189" s="42">
        <v>97.3</v>
      </c>
      <c r="X189" s="23">
        <f>[1]ישיר!D178/1000</f>
        <v>8609.0010000000002</v>
      </c>
      <c r="Y189" s="23">
        <v>5401.9759999999997</v>
      </c>
      <c r="Z189" s="23">
        <f>[1]עקיף!H178</f>
        <v>1526</v>
      </c>
      <c r="AA189" s="23">
        <f>[1]עקיף!P178</f>
        <v>1347</v>
      </c>
      <c r="AB189" s="23">
        <f>[1]עקיף!Q178</f>
        <v>8597</v>
      </c>
      <c r="AF189" s="78"/>
      <c r="AG189" s="78">
        <v>2921.1</v>
      </c>
      <c r="AH189" s="62">
        <v>63417.460455</v>
      </c>
      <c r="AI189" s="4">
        <v>259.5</v>
      </c>
      <c r="AJ189" s="69">
        <v>180.3</v>
      </c>
      <c r="AK189" s="68">
        <v>102.7</v>
      </c>
      <c r="AL189" s="74">
        <v>60.487468151604553</v>
      </c>
      <c r="AM189" s="72">
        <v>19836</v>
      </c>
      <c r="AT189" s="70"/>
      <c r="AU189" s="76"/>
      <c r="AV189" s="68"/>
      <c r="AW189" s="68"/>
    </row>
    <row r="190" spans="1:49" ht="16.5" thickBot="1">
      <c r="A190" s="28">
        <v>40330</v>
      </c>
      <c r="B190" s="29">
        <f t="shared" si="6"/>
        <v>6</v>
      </c>
      <c r="C190" s="29">
        <f t="shared" si="7"/>
        <v>2</v>
      </c>
      <c r="D190" s="29">
        <f t="shared" si="8"/>
        <v>2010</v>
      </c>
      <c r="E190" s="11">
        <v>87.669818231400001</v>
      </c>
      <c r="F190" s="23">
        <v>6771</v>
      </c>
      <c r="G190" s="23">
        <v>6756</v>
      </c>
      <c r="H190" s="46">
        <v>4262</v>
      </c>
      <c r="I190" s="44">
        <v>1416</v>
      </c>
      <c r="J190" s="16">
        <v>134.72</v>
      </c>
      <c r="K190" s="42">
        <v>184.2</v>
      </c>
      <c r="L190" s="23">
        <v>75.335909090909098</v>
      </c>
      <c r="M190" s="30">
        <v>89.51</v>
      </c>
      <c r="N190" s="30">
        <v>3.8523181818181835</v>
      </c>
      <c r="O190" s="12">
        <v>1095.1786363636365</v>
      </c>
      <c r="P190" s="12">
        <v>1020.7</v>
      </c>
      <c r="Q190" s="12">
        <v>2235.229545454546</v>
      </c>
      <c r="R190" s="12">
        <v>1083.3609090909092</v>
      </c>
      <c r="S190" s="34">
        <v>0.16</v>
      </c>
      <c r="T190" s="42">
        <v>99.3</v>
      </c>
      <c r="U190" s="42">
        <v>98.5</v>
      </c>
      <c r="V190" s="42">
        <v>81.2</v>
      </c>
      <c r="W190" s="42">
        <v>96.7</v>
      </c>
      <c r="X190" s="23">
        <f>[1]ישיר!D179/1000</f>
        <v>6523.0609999999997</v>
      </c>
      <c r="Y190" s="23">
        <v>4819.5789999999997</v>
      </c>
      <c r="Z190" s="23">
        <f>[1]עקיף!H179</f>
        <v>1416</v>
      </c>
      <c r="AA190" s="23">
        <f>[1]עקיף!P179</f>
        <v>1192</v>
      </c>
      <c r="AB190" s="23">
        <f>[1]עקיף!Q179</f>
        <v>6870</v>
      </c>
      <c r="AF190" s="78"/>
      <c r="AG190" s="78">
        <v>2928.9</v>
      </c>
      <c r="AH190" s="62">
        <v>63096.314429999999</v>
      </c>
      <c r="AI190" s="4">
        <v>260.3</v>
      </c>
      <c r="AJ190" s="69">
        <v>184.2</v>
      </c>
      <c r="AK190" s="68">
        <v>102.1</v>
      </c>
      <c r="AL190" s="74">
        <v>60.797462128609837</v>
      </c>
      <c r="AM190" s="72">
        <v>21816</v>
      </c>
      <c r="AT190" s="70"/>
      <c r="AU190" s="76"/>
      <c r="AV190" s="68"/>
      <c r="AW190" s="68"/>
    </row>
    <row r="191" spans="1:49" ht="16.5" thickBot="1">
      <c r="A191" s="28">
        <v>40360</v>
      </c>
      <c r="B191" s="29">
        <f t="shared" si="6"/>
        <v>7</v>
      </c>
      <c r="C191" s="29">
        <f t="shared" si="7"/>
        <v>3</v>
      </c>
      <c r="D191" s="29">
        <f t="shared" si="8"/>
        <v>2010</v>
      </c>
      <c r="E191" s="11">
        <v>88.083745607400004</v>
      </c>
      <c r="F191" s="23">
        <v>8950</v>
      </c>
      <c r="G191" s="23">
        <v>9596</v>
      </c>
      <c r="H191" s="46">
        <v>6383</v>
      </c>
      <c r="I191" s="47">
        <v>1538</v>
      </c>
      <c r="J191" s="16">
        <v>134</v>
      </c>
      <c r="K191" s="42">
        <v>185.8</v>
      </c>
      <c r="L191" s="23">
        <v>76.319523809523801</v>
      </c>
      <c r="M191" s="30">
        <v>89.36</v>
      </c>
      <c r="N191" s="30">
        <v>3.854428571428572</v>
      </c>
      <c r="O191" s="12">
        <v>1100.9639999999995</v>
      </c>
      <c r="P191" s="12">
        <v>1021.0265000000003</v>
      </c>
      <c r="Q191" s="12">
        <v>2210.2738095238092</v>
      </c>
      <c r="R191" s="12">
        <v>1079.8033333333333</v>
      </c>
      <c r="S191" s="34">
        <v>0.16</v>
      </c>
      <c r="T191" s="42">
        <v>97.6</v>
      </c>
      <c r="U191" s="42">
        <v>97</v>
      </c>
      <c r="V191" s="42">
        <v>80.599999999999994</v>
      </c>
      <c r="W191" s="42">
        <v>96.5</v>
      </c>
      <c r="X191" s="23">
        <f>[1]ישיר!D180/1000</f>
        <v>8984.5220000000008</v>
      </c>
      <c r="Y191" s="23">
        <v>5974.415</v>
      </c>
      <c r="Z191" s="23">
        <f>[1]עקיף!H180</f>
        <v>1538</v>
      </c>
      <c r="AA191" s="23">
        <f>[1]עקיף!P180</f>
        <v>1477</v>
      </c>
      <c r="AB191" s="23">
        <f>[1]עקיף!Q180</f>
        <v>9398</v>
      </c>
      <c r="AF191" s="78"/>
      <c r="AG191" s="78">
        <v>2925.3</v>
      </c>
      <c r="AH191" s="62">
        <v>64312.895814000003</v>
      </c>
      <c r="AI191" s="4">
        <v>263.7</v>
      </c>
      <c r="AJ191" s="69">
        <v>185.9</v>
      </c>
      <c r="AK191" s="68">
        <v>102.6</v>
      </c>
      <c r="AL191" s="74">
        <v>61.088056573031949</v>
      </c>
      <c r="AM191" s="73">
        <v>23664</v>
      </c>
      <c r="AT191" s="67"/>
      <c r="AU191" s="76"/>
      <c r="AV191" s="68"/>
      <c r="AW191" s="68"/>
    </row>
    <row r="192" spans="1:49" ht="16.5" thickBot="1">
      <c r="A192" s="28">
        <v>40391</v>
      </c>
      <c r="B192" s="29">
        <f t="shared" si="6"/>
        <v>8</v>
      </c>
      <c r="C192" s="29">
        <f t="shared" si="7"/>
        <v>3</v>
      </c>
      <c r="D192" s="29">
        <f t="shared" si="8"/>
        <v>2010</v>
      </c>
      <c r="E192" s="11">
        <v>88.497672983300006</v>
      </c>
      <c r="F192" s="23">
        <v>7260</v>
      </c>
      <c r="G192" s="23">
        <v>7419</v>
      </c>
      <c r="H192" s="46">
        <v>4649</v>
      </c>
      <c r="I192" s="47">
        <v>1592</v>
      </c>
      <c r="J192" s="16">
        <v>136.1</v>
      </c>
      <c r="K192" s="42">
        <v>189.2</v>
      </c>
      <c r="L192" s="23">
        <v>76.599090909090918</v>
      </c>
      <c r="M192" s="30">
        <v>87.89</v>
      </c>
      <c r="N192" s="30">
        <v>3.7908181818181803</v>
      </c>
      <c r="O192" s="12">
        <v>1148.7060869565219</v>
      </c>
      <c r="P192" s="12">
        <v>1057.4104347826085</v>
      </c>
      <c r="Q192" s="12">
        <v>2205.2813636363639</v>
      </c>
      <c r="R192" s="12">
        <v>1087.282272727273</v>
      </c>
      <c r="S192" s="34">
        <v>0.16</v>
      </c>
      <c r="T192" s="42">
        <v>97.1</v>
      </c>
      <c r="U192" s="42">
        <v>98.7</v>
      </c>
      <c r="V192" s="42">
        <v>84.8</v>
      </c>
      <c r="W192" s="42">
        <v>97.9</v>
      </c>
      <c r="X192" s="23">
        <f>[1]ישיר!D181/1000</f>
        <v>7247.2569999999996</v>
      </c>
      <c r="Y192" s="23">
        <v>5008.8770000000004</v>
      </c>
      <c r="Z192" s="23">
        <f>[1]עקיף!H181</f>
        <v>1592</v>
      </c>
      <c r="AA192" s="23">
        <f>[1]עקיף!P181</f>
        <v>1313</v>
      </c>
      <c r="AB192" s="23">
        <f>[1]עקיף!Q181</f>
        <v>7554</v>
      </c>
      <c r="AF192" s="78"/>
      <c r="AG192" s="78">
        <v>2940.1</v>
      </c>
      <c r="AH192" s="62">
        <v>64107.505082999996</v>
      </c>
      <c r="AI192" s="4">
        <v>267.2</v>
      </c>
      <c r="AJ192" s="69">
        <v>189.2</v>
      </c>
      <c r="AK192" s="68">
        <v>96.7</v>
      </c>
      <c r="AL192" s="74">
        <v>61.321788218997995</v>
      </c>
      <c r="AM192" s="73">
        <v>22764</v>
      </c>
      <c r="AT192" s="67"/>
      <c r="AU192" s="76"/>
      <c r="AV192" s="68"/>
      <c r="AW192" s="68"/>
    </row>
    <row r="193" spans="1:49" ht="16.5" thickBot="1">
      <c r="A193" s="28">
        <v>40422</v>
      </c>
      <c r="B193" s="29">
        <f t="shared" si="6"/>
        <v>9</v>
      </c>
      <c r="C193" s="29">
        <f t="shared" si="7"/>
        <v>3</v>
      </c>
      <c r="D193" s="29">
        <f t="shared" si="8"/>
        <v>2010</v>
      </c>
      <c r="E193" s="11">
        <v>88.7460294089</v>
      </c>
      <c r="F193" s="23">
        <v>7956</v>
      </c>
      <c r="G193" s="23">
        <v>9443</v>
      </c>
      <c r="H193" s="46">
        <v>6523</v>
      </c>
      <c r="I193" s="47">
        <v>1122</v>
      </c>
      <c r="J193" s="16">
        <v>137.02000000000001</v>
      </c>
      <c r="K193" s="42">
        <v>190.3</v>
      </c>
      <c r="L193" s="23">
        <v>75.241904761904763</v>
      </c>
      <c r="M193" s="30">
        <v>88.81</v>
      </c>
      <c r="N193" s="30">
        <v>3.737625</v>
      </c>
      <c r="O193" s="12">
        <v>1189.1437500000002</v>
      </c>
      <c r="P193" s="12">
        <v>1099.8043749999999</v>
      </c>
      <c r="Q193" s="12">
        <v>2298.3461904761903</v>
      </c>
      <c r="R193" s="12">
        <v>1122.0819047619048</v>
      </c>
      <c r="S193" s="34">
        <v>0.16</v>
      </c>
      <c r="T193" s="42">
        <v>99.2</v>
      </c>
      <c r="U193" s="42">
        <v>100.6</v>
      </c>
      <c r="V193" s="42">
        <v>81.7</v>
      </c>
      <c r="W193" s="42">
        <v>97.2</v>
      </c>
      <c r="X193" s="23">
        <f>[1]ישיר!D182/1000</f>
        <v>7954.1940000000004</v>
      </c>
      <c r="Y193" s="23">
        <v>5163.0159999999996</v>
      </c>
      <c r="Z193" s="23">
        <f>[1]עקיף!H182</f>
        <v>1122</v>
      </c>
      <c r="AA193" s="23">
        <f>[1]עקיף!P182</f>
        <v>1501</v>
      </c>
      <c r="AB193" s="23">
        <f>[1]עקיף!Q182</f>
        <v>9146</v>
      </c>
      <c r="AF193" s="78"/>
      <c r="AG193" s="78">
        <v>2923.3</v>
      </c>
      <c r="AH193" s="62">
        <v>66260.048083000001</v>
      </c>
      <c r="AI193" s="4">
        <v>268.10000000000002</v>
      </c>
      <c r="AJ193" s="69">
        <v>190.3</v>
      </c>
      <c r="AK193" s="68">
        <v>93.4</v>
      </c>
      <c r="AL193" s="74">
        <v>61.506584229711095</v>
      </c>
      <c r="AM193" s="73">
        <v>26760</v>
      </c>
      <c r="AT193" s="67"/>
      <c r="AU193" s="76"/>
      <c r="AV193" s="68"/>
      <c r="AW193" s="68"/>
    </row>
    <row r="194" spans="1:49" ht="16.5" thickBot="1">
      <c r="A194" s="28">
        <v>40452</v>
      </c>
      <c r="B194" s="29">
        <f t="shared" si="6"/>
        <v>10</v>
      </c>
      <c r="C194" s="29">
        <f t="shared" si="7"/>
        <v>4</v>
      </c>
      <c r="D194" s="29">
        <f t="shared" si="8"/>
        <v>2010</v>
      </c>
      <c r="E194" s="11">
        <v>88.994385834499994</v>
      </c>
      <c r="F194" s="23">
        <v>7805</v>
      </c>
      <c r="G194" s="23">
        <v>7481</v>
      </c>
      <c r="H194" s="46">
        <v>4406</v>
      </c>
      <c r="I194" s="44">
        <v>1750</v>
      </c>
      <c r="J194" s="16">
        <v>136.4</v>
      </c>
      <c r="K194" s="42">
        <v>188.4</v>
      </c>
      <c r="L194" s="23">
        <v>81.892857142857153</v>
      </c>
      <c r="M194" s="30">
        <v>89.39</v>
      </c>
      <c r="N194" s="30">
        <v>3.6112380952380954</v>
      </c>
      <c r="O194" s="12">
        <v>1250.8847619047617</v>
      </c>
      <c r="P194" s="12">
        <v>1153.2209523809524</v>
      </c>
      <c r="Q194" s="12">
        <v>2441.2957142857144</v>
      </c>
      <c r="R194" s="12">
        <v>1171.5838095238091</v>
      </c>
      <c r="S194" s="34">
        <v>0.16</v>
      </c>
      <c r="T194" s="42">
        <v>99</v>
      </c>
      <c r="U194" s="42">
        <v>99.7</v>
      </c>
      <c r="V194" s="42">
        <v>79.599999999999994</v>
      </c>
      <c r="W194" s="42">
        <v>99.1</v>
      </c>
      <c r="X194" s="23">
        <f>[1]ישיר!D183/1000</f>
        <v>7964.6819999999998</v>
      </c>
      <c r="Y194" s="23">
        <v>5261.402</v>
      </c>
      <c r="Z194" s="23">
        <f>[1]עקיף!H183</f>
        <v>1750</v>
      </c>
      <c r="AA194" s="23">
        <f>[1]עקיף!P183</f>
        <v>1381</v>
      </c>
      <c r="AB194" s="23">
        <f>[1]עקיף!Q183</f>
        <v>7537</v>
      </c>
      <c r="AF194" s="78"/>
      <c r="AG194" s="78">
        <v>2973.7</v>
      </c>
      <c r="AH194" s="62">
        <v>69610.152209000007</v>
      </c>
      <c r="AI194" s="4">
        <v>271.2</v>
      </c>
      <c r="AJ194" s="69">
        <v>188.4</v>
      </c>
      <c r="AK194" s="68">
        <v>96.6</v>
      </c>
      <c r="AL194" s="74">
        <v>61.742697619890563</v>
      </c>
      <c r="AM194" s="72">
        <v>29184</v>
      </c>
      <c r="AT194" s="67"/>
      <c r="AU194" s="76"/>
      <c r="AV194" s="68"/>
      <c r="AW194" s="68"/>
    </row>
    <row r="195" spans="1:49" ht="16.5" thickBot="1">
      <c r="A195" s="28">
        <v>40483</v>
      </c>
      <c r="B195" s="29">
        <f t="shared" si="6"/>
        <v>11</v>
      </c>
      <c r="C195" s="29">
        <f t="shared" si="7"/>
        <v>4</v>
      </c>
      <c r="D195" s="29">
        <f t="shared" si="8"/>
        <v>2010</v>
      </c>
      <c r="E195" s="11">
        <v>89.077171309700006</v>
      </c>
      <c r="F195" s="23">
        <v>8002</v>
      </c>
      <c r="G195" s="23">
        <v>8490</v>
      </c>
      <c r="H195" s="46">
        <v>5818</v>
      </c>
      <c r="I195" s="47">
        <v>1402</v>
      </c>
      <c r="J195" s="16">
        <v>130.6</v>
      </c>
      <c r="K195" s="42">
        <v>188.8</v>
      </c>
      <c r="L195" s="23">
        <v>84.252857142857138</v>
      </c>
      <c r="M195" s="30">
        <v>89.66</v>
      </c>
      <c r="N195" s="30">
        <v>3.6442272727272726</v>
      </c>
      <c r="O195" s="12">
        <v>1259.8627272727274</v>
      </c>
      <c r="P195" s="12">
        <v>1161.8559090909091</v>
      </c>
      <c r="Q195" s="12">
        <v>2530.9895238095237</v>
      </c>
      <c r="R195" s="12">
        <v>1198.8885714285711</v>
      </c>
      <c r="S195" s="34">
        <v>0.16</v>
      </c>
      <c r="T195" s="42">
        <v>99.5</v>
      </c>
      <c r="U195" s="42">
        <v>99.8</v>
      </c>
      <c r="V195" s="42">
        <v>80.3</v>
      </c>
      <c r="W195" s="42">
        <v>101.2</v>
      </c>
      <c r="X195" s="23">
        <f>[1]ישיר!D184/1000</f>
        <v>8228.77</v>
      </c>
      <c r="Y195" s="23">
        <v>5075.6279999999997</v>
      </c>
      <c r="Z195" s="23">
        <f>[1]עקיף!H184</f>
        <v>1402</v>
      </c>
      <c r="AA195" s="23">
        <f>[1]עקיף!P184</f>
        <v>1350</v>
      </c>
      <c r="AB195" s="23">
        <f>[1]עקיף!Q184</f>
        <v>8570</v>
      </c>
      <c r="AF195" s="78"/>
      <c r="AG195" s="78">
        <v>2972.5</v>
      </c>
      <c r="AH195" s="62">
        <v>68277.122568000006</v>
      </c>
      <c r="AI195" s="4">
        <v>275.3</v>
      </c>
      <c r="AJ195" s="69">
        <v>188.8</v>
      </c>
      <c r="AK195" s="68">
        <v>97.3</v>
      </c>
      <c r="AL195" s="74">
        <v>61.938016027433086</v>
      </c>
      <c r="AM195" s="72">
        <v>29016</v>
      </c>
      <c r="AT195" s="67"/>
      <c r="AU195" s="76"/>
      <c r="AV195" s="68"/>
      <c r="AW195" s="68"/>
    </row>
    <row r="196" spans="1:49" ht="16.5" thickBot="1">
      <c r="A196" s="28">
        <v>40513</v>
      </c>
      <c r="B196" s="29">
        <f t="shared" si="6"/>
        <v>12</v>
      </c>
      <c r="C196" s="29">
        <f t="shared" si="7"/>
        <v>4</v>
      </c>
      <c r="D196" s="29">
        <f t="shared" si="8"/>
        <v>2010</v>
      </c>
      <c r="E196" s="11">
        <v>89.408313210499998</v>
      </c>
      <c r="F196" s="23">
        <v>6885</v>
      </c>
      <c r="G196" s="23">
        <v>7857</v>
      </c>
      <c r="H196" s="46">
        <v>4998</v>
      </c>
      <c r="I196" s="47">
        <v>1500</v>
      </c>
      <c r="J196" s="16">
        <v>135</v>
      </c>
      <c r="K196" s="42">
        <v>187.6</v>
      </c>
      <c r="L196" s="23">
        <v>89.145909090909086</v>
      </c>
      <c r="M196" s="30">
        <v>89.35</v>
      </c>
      <c r="N196" s="30">
        <v>3.6039565217391298</v>
      </c>
      <c r="O196" s="12">
        <v>1300.1845454545453</v>
      </c>
      <c r="P196" s="12">
        <v>1200.6645454545455</v>
      </c>
      <c r="Q196" s="12">
        <v>2631.5604545454548</v>
      </c>
      <c r="R196" s="12">
        <v>1241.5254545454545</v>
      </c>
      <c r="S196" s="34">
        <v>0.16</v>
      </c>
      <c r="T196" s="42">
        <v>100.5</v>
      </c>
      <c r="U196" s="42">
        <v>101.1</v>
      </c>
      <c r="V196" s="42">
        <v>83</v>
      </c>
      <c r="W196" s="42">
        <v>101.3</v>
      </c>
      <c r="X196" s="23">
        <f>[1]ישיר!D185/1000</f>
        <v>7081.0619999999999</v>
      </c>
      <c r="Y196" s="23">
        <v>5113.9319999999998</v>
      </c>
      <c r="Z196" s="23">
        <f>[1]עקיף!H185</f>
        <v>1500</v>
      </c>
      <c r="AA196" s="23">
        <f>[1]עקיף!P185</f>
        <v>1291</v>
      </c>
      <c r="AB196" s="23">
        <f>[1]עקיף!Q185</f>
        <v>7789</v>
      </c>
      <c r="AF196" s="78"/>
      <c r="AG196" s="78">
        <v>2978.6</v>
      </c>
      <c r="AH196" s="62">
        <v>70913.257629999993</v>
      </c>
      <c r="AI196" s="4">
        <v>278.7</v>
      </c>
      <c r="AJ196" s="69">
        <v>187.5</v>
      </c>
      <c r="AK196" s="68">
        <v>96.8</v>
      </c>
      <c r="AL196" s="74">
        <v>62.171300062227061</v>
      </c>
      <c r="AM196" s="72">
        <v>29724</v>
      </c>
      <c r="AT196" s="67"/>
      <c r="AU196" s="76"/>
      <c r="AV196" s="68"/>
      <c r="AW196" s="68"/>
    </row>
    <row r="197" spans="1:49" ht="16.5" thickBot="1">
      <c r="A197" s="28">
        <v>40544</v>
      </c>
      <c r="B197" s="29">
        <f t="shared" si="6"/>
        <v>1</v>
      </c>
      <c r="C197" s="29">
        <f t="shared" si="7"/>
        <v>1</v>
      </c>
      <c r="D197" s="29">
        <f t="shared" si="8"/>
        <v>2011</v>
      </c>
      <c r="E197" s="11">
        <v>89.592096965400003</v>
      </c>
      <c r="F197" s="18">
        <v>9133</v>
      </c>
      <c r="G197" s="18">
        <v>9929</v>
      </c>
      <c r="H197" s="46">
        <v>7016</v>
      </c>
      <c r="I197" s="47">
        <v>1711</v>
      </c>
      <c r="J197" s="16">
        <v>131.80000000000001</v>
      </c>
      <c r="K197" s="42">
        <v>188.8</v>
      </c>
      <c r="L197" s="23">
        <v>89.170500000000004</v>
      </c>
      <c r="M197" s="30">
        <v>91.48</v>
      </c>
      <c r="N197" s="30">
        <v>3.584285714285715</v>
      </c>
      <c r="O197" s="12">
        <v>1329.3127272727274</v>
      </c>
      <c r="P197" s="12">
        <v>1235.4386363636363</v>
      </c>
      <c r="Q197" s="12">
        <v>2717.2085000000002</v>
      </c>
      <c r="R197" s="12">
        <v>1282.6185</v>
      </c>
      <c r="S197" s="34">
        <v>0.16</v>
      </c>
      <c r="T197" s="42">
        <v>100.3</v>
      </c>
      <c r="U197" s="42">
        <v>99.2</v>
      </c>
      <c r="V197" s="42">
        <v>80.599999999999994</v>
      </c>
      <c r="W197" s="42">
        <v>102.9</v>
      </c>
      <c r="X197" s="23">
        <f>[1]ישיר!D186/1000</f>
        <v>10174.049000000001</v>
      </c>
      <c r="Y197" s="23">
        <v>6100.9809999999998</v>
      </c>
      <c r="Z197" s="23">
        <f>[1]עקיף!H186</f>
        <v>1711</v>
      </c>
      <c r="AA197" s="23">
        <f>[1]עקיף!P186</f>
        <v>1514</v>
      </c>
      <c r="AB197" s="23">
        <f>[1]עקיף!Q186</f>
        <v>10241</v>
      </c>
      <c r="AF197" s="78"/>
      <c r="AG197" s="78">
        <v>2996.8</v>
      </c>
      <c r="AH197" s="62">
        <v>73397.936707999994</v>
      </c>
      <c r="AI197" s="4">
        <v>282</v>
      </c>
      <c r="AJ197" s="69">
        <v>188.8</v>
      </c>
      <c r="AK197" s="68">
        <v>98.6</v>
      </c>
      <c r="AL197" s="74">
        <v>62.626294757390966</v>
      </c>
      <c r="AM197" s="72">
        <v>25500</v>
      </c>
      <c r="AT197" s="67"/>
      <c r="AU197" s="76"/>
      <c r="AV197" s="68"/>
      <c r="AW197" s="68"/>
    </row>
    <row r="198" spans="1:49" ht="16.5" thickBot="1">
      <c r="A198" s="28">
        <v>40575</v>
      </c>
      <c r="B198" s="29">
        <f t="shared" ref="B198:B261" si="9">MONTH(A198)</f>
        <v>2</v>
      </c>
      <c r="C198" s="29">
        <f t="shared" ref="C198:C261" si="10">ROUNDUP(B198/3,0)</f>
        <v>1</v>
      </c>
      <c r="D198" s="29">
        <f t="shared" ref="D198:D261" si="11">YEAR(A198)</f>
        <v>2011</v>
      </c>
      <c r="E198" s="11">
        <v>89.855603133000002</v>
      </c>
      <c r="F198" s="18">
        <v>9883</v>
      </c>
      <c r="G198" s="18">
        <v>7234</v>
      </c>
      <c r="H198" s="46">
        <v>4905</v>
      </c>
      <c r="I198" s="47">
        <v>1305</v>
      </c>
      <c r="J198" s="16">
        <v>129.19999999999999</v>
      </c>
      <c r="K198" s="42">
        <v>189.1</v>
      </c>
      <c r="L198" s="23">
        <v>88.578421052631569</v>
      </c>
      <c r="M198" s="30">
        <v>91.26</v>
      </c>
      <c r="N198" s="30">
        <v>3.65665</v>
      </c>
      <c r="O198" s="12">
        <v>1310.5545</v>
      </c>
      <c r="P198" s="12">
        <v>1213.9845</v>
      </c>
      <c r="Q198" s="12">
        <v>2783.535789473684</v>
      </c>
      <c r="R198" s="12">
        <v>1321.1178947368419</v>
      </c>
      <c r="S198" s="34">
        <v>0.16</v>
      </c>
      <c r="T198" s="42">
        <v>99.1</v>
      </c>
      <c r="U198" s="42">
        <v>98.4</v>
      </c>
      <c r="V198" s="42">
        <v>81.599999999999994</v>
      </c>
      <c r="W198" s="42">
        <v>99.8</v>
      </c>
      <c r="X198" s="23">
        <f>[1]ישיר!D187/1000</f>
        <v>9559.8639999999996</v>
      </c>
      <c r="Y198" s="23">
        <v>5685.6080000000002</v>
      </c>
      <c r="Z198" s="23">
        <f>[1]עקיף!H187</f>
        <v>1305</v>
      </c>
      <c r="AA198" s="23">
        <f>[1]עקיף!P187</f>
        <v>1168</v>
      </c>
      <c r="AB198" s="23">
        <f>[1]עקיף!Q187</f>
        <v>7378</v>
      </c>
      <c r="AF198" s="78"/>
      <c r="AG198" s="78">
        <v>3003</v>
      </c>
      <c r="AH198" s="62">
        <v>73793.166087999998</v>
      </c>
      <c r="AI198" s="4">
        <v>284.7</v>
      </c>
      <c r="AJ198" s="69">
        <v>189.1</v>
      </c>
      <c r="AK198" s="68">
        <v>99.1</v>
      </c>
      <c r="AL198" s="74">
        <v>62.746671120745354</v>
      </c>
      <c r="AM198" s="72">
        <v>25020</v>
      </c>
      <c r="AT198" s="67"/>
      <c r="AU198" s="76"/>
      <c r="AV198" s="68"/>
      <c r="AW198" s="68"/>
    </row>
    <row r="199" spans="1:49" ht="16.5" thickBot="1">
      <c r="A199" s="28">
        <v>40603</v>
      </c>
      <c r="B199" s="29">
        <f t="shared" si="9"/>
        <v>3</v>
      </c>
      <c r="C199" s="29">
        <f t="shared" si="10"/>
        <v>1</v>
      </c>
      <c r="D199" s="29">
        <f t="shared" si="11"/>
        <v>2011</v>
      </c>
      <c r="E199" s="11">
        <v>90.031273911300005</v>
      </c>
      <c r="F199" s="18">
        <v>8544</v>
      </c>
      <c r="G199" s="18">
        <v>9905</v>
      </c>
      <c r="H199" s="46">
        <v>6552</v>
      </c>
      <c r="I199" s="47">
        <v>1633</v>
      </c>
      <c r="J199" s="16">
        <v>131.6</v>
      </c>
      <c r="K199" s="42">
        <v>190</v>
      </c>
      <c r="L199" s="23">
        <v>102.85652173913044</v>
      </c>
      <c r="M199" s="30">
        <v>88.44</v>
      </c>
      <c r="N199" s="30">
        <v>3.562727272727273</v>
      </c>
      <c r="O199" s="12">
        <v>1278.0859090909087</v>
      </c>
      <c r="P199" s="12">
        <v>1171.7290909090909</v>
      </c>
      <c r="Q199" s="12">
        <v>2722.2891304347831</v>
      </c>
      <c r="R199" s="12">
        <v>1304.4865217391302</v>
      </c>
      <c r="S199" s="34">
        <v>0.16</v>
      </c>
      <c r="T199" s="42">
        <v>101.7</v>
      </c>
      <c r="U199" s="42">
        <v>100.7</v>
      </c>
      <c r="V199" s="42">
        <v>81.5</v>
      </c>
      <c r="W199" s="42">
        <v>97.2</v>
      </c>
      <c r="X199" s="23">
        <f>[1]ישיר!D188/1000</f>
        <v>8642.73</v>
      </c>
      <c r="Y199" s="23">
        <v>5368.0460000000003</v>
      </c>
      <c r="Z199" s="23">
        <f>[1]עקיף!H188</f>
        <v>1633</v>
      </c>
      <c r="AA199" s="23">
        <f>[1]עקיף!P188</f>
        <v>1472</v>
      </c>
      <c r="AB199" s="23">
        <f>[1]עקיף!Q188</f>
        <v>9657</v>
      </c>
      <c r="AF199" s="78"/>
      <c r="AG199" s="78">
        <v>3011.8</v>
      </c>
      <c r="AH199" s="62">
        <v>74526.358051000003</v>
      </c>
      <c r="AI199" s="4">
        <v>288.3</v>
      </c>
      <c r="AJ199" s="69">
        <v>189.9</v>
      </c>
      <c r="AK199" s="68">
        <v>105</v>
      </c>
      <c r="AL199" s="74">
        <v>63.016786565765784</v>
      </c>
      <c r="AM199" s="72">
        <v>24324</v>
      </c>
      <c r="AT199" s="67"/>
      <c r="AU199" s="76"/>
      <c r="AV199" s="68"/>
      <c r="AW199" s="68"/>
    </row>
    <row r="200" spans="1:49" ht="16.5" thickBot="1">
      <c r="A200" s="28">
        <v>40634</v>
      </c>
      <c r="B200" s="29">
        <f t="shared" si="9"/>
        <v>4</v>
      </c>
      <c r="C200" s="29">
        <f t="shared" si="10"/>
        <v>2</v>
      </c>
      <c r="D200" s="29">
        <f t="shared" si="11"/>
        <v>2011</v>
      </c>
      <c r="E200" s="11">
        <v>90.558286246400002</v>
      </c>
      <c r="F200" s="18">
        <v>8843</v>
      </c>
      <c r="G200" s="18">
        <v>7792</v>
      </c>
      <c r="H200" s="46">
        <v>5415</v>
      </c>
      <c r="I200" s="47">
        <v>1316</v>
      </c>
      <c r="J200" s="16">
        <v>133.6</v>
      </c>
      <c r="K200" s="42">
        <v>190.5</v>
      </c>
      <c r="L200" s="23">
        <v>109.5325</v>
      </c>
      <c r="M200" s="30">
        <v>89.4</v>
      </c>
      <c r="N200" s="30">
        <v>3.4337647058823526</v>
      </c>
      <c r="O200" s="12">
        <v>1330.684375</v>
      </c>
      <c r="P200" s="12">
        <v>1210.953125</v>
      </c>
      <c r="Q200" s="12">
        <v>2797.0720000000001</v>
      </c>
      <c r="R200" s="12">
        <v>1331.5050000000001</v>
      </c>
      <c r="S200" s="34">
        <v>0.16</v>
      </c>
      <c r="T200" s="42">
        <v>99.7</v>
      </c>
      <c r="U200" s="42">
        <v>99.7</v>
      </c>
      <c r="V200" s="42">
        <v>82.3</v>
      </c>
      <c r="W200" s="42">
        <v>97.7</v>
      </c>
      <c r="X200" s="23">
        <f>[1]ישיר!D189/1000</f>
        <v>8738.7810000000009</v>
      </c>
      <c r="Y200" s="23">
        <v>5478.9750000000004</v>
      </c>
      <c r="Z200" s="23">
        <f>[1]עקיף!H189</f>
        <v>1316</v>
      </c>
      <c r="AA200" s="23">
        <f>[1]עקיף!P189</f>
        <v>1175</v>
      </c>
      <c r="AB200" s="23">
        <f>[1]עקיף!Q189</f>
        <v>7906</v>
      </c>
      <c r="AF200" s="78"/>
      <c r="AG200" s="78">
        <v>3016.6</v>
      </c>
      <c r="AH200" s="62">
        <v>77409.003954999993</v>
      </c>
      <c r="AI200" s="4">
        <v>290</v>
      </c>
      <c r="AJ200" s="69">
        <v>190.4</v>
      </c>
      <c r="AK200" s="68">
        <v>99.1</v>
      </c>
      <c r="AL200" s="74">
        <v>63.108232036105875</v>
      </c>
      <c r="AM200" s="72">
        <v>20292</v>
      </c>
      <c r="AT200" s="67"/>
      <c r="AU200" s="76"/>
      <c r="AV200" s="68"/>
      <c r="AW200" s="68"/>
    </row>
    <row r="201" spans="1:49" ht="16.5" thickBot="1">
      <c r="A201" s="28">
        <v>40664</v>
      </c>
      <c r="B201" s="29">
        <f t="shared" si="9"/>
        <v>5</v>
      </c>
      <c r="C201" s="29">
        <f t="shared" si="10"/>
        <v>2</v>
      </c>
      <c r="D201" s="29">
        <f t="shared" si="11"/>
        <v>2011</v>
      </c>
      <c r="E201" s="11">
        <v>90.997463192300003</v>
      </c>
      <c r="F201" s="18">
        <v>9264</v>
      </c>
      <c r="G201" s="18">
        <v>8957</v>
      </c>
      <c r="H201" s="46">
        <v>5797</v>
      </c>
      <c r="I201" s="47">
        <v>1547</v>
      </c>
      <c r="J201" s="16">
        <v>131.80000000000001</v>
      </c>
      <c r="K201" s="42">
        <v>190</v>
      </c>
      <c r="L201" s="23">
        <v>100.90047619047618</v>
      </c>
      <c r="M201" s="30">
        <v>91.38</v>
      </c>
      <c r="N201" s="30">
        <v>3.4680999999999997</v>
      </c>
      <c r="O201" s="12">
        <v>1274.8371428571429</v>
      </c>
      <c r="P201" s="12">
        <v>1158.1385714285711</v>
      </c>
      <c r="Q201" s="12">
        <v>2815.0757142857146</v>
      </c>
      <c r="R201" s="12">
        <v>1338.3104761904758</v>
      </c>
      <c r="S201" s="34">
        <v>0.16</v>
      </c>
      <c r="T201" s="42">
        <v>99.6</v>
      </c>
      <c r="U201" s="42">
        <v>100.6</v>
      </c>
      <c r="V201" s="42">
        <v>81.5</v>
      </c>
      <c r="W201" s="42">
        <v>93.4</v>
      </c>
      <c r="X201" s="23">
        <f>[1]ישיר!D190/1000</f>
        <v>9553.0959999999995</v>
      </c>
      <c r="Y201" s="23">
        <v>5821.8850000000002</v>
      </c>
      <c r="Z201" s="23">
        <f>[1]עקיף!H190</f>
        <v>1547</v>
      </c>
      <c r="AA201" s="23">
        <f>[1]עקיף!P190</f>
        <v>1448</v>
      </c>
      <c r="AB201" s="23">
        <f>[1]עקיף!Q190</f>
        <v>8792</v>
      </c>
      <c r="AF201" s="78"/>
      <c r="AG201" s="78">
        <v>3027.1</v>
      </c>
      <c r="AH201" s="62">
        <v>76801.812539999999</v>
      </c>
      <c r="AI201" s="4">
        <v>291.60000000000002</v>
      </c>
      <c r="AJ201" s="69">
        <v>190</v>
      </c>
      <c r="AK201" s="68">
        <v>100.8</v>
      </c>
      <c r="AL201" s="74">
        <v>63.249570950758653</v>
      </c>
      <c r="AM201" s="72">
        <v>19488</v>
      </c>
      <c r="AT201" s="67"/>
      <c r="AU201" s="76"/>
      <c r="AV201" s="68"/>
      <c r="AW201" s="68"/>
    </row>
    <row r="202" spans="1:49" ht="16.5" thickBot="1">
      <c r="A202" s="28">
        <v>40695</v>
      </c>
      <c r="B202" s="29">
        <f t="shared" si="9"/>
        <v>6</v>
      </c>
      <c r="C202" s="29">
        <f t="shared" si="10"/>
        <v>2</v>
      </c>
      <c r="D202" s="29">
        <f t="shared" si="11"/>
        <v>2011</v>
      </c>
      <c r="E202" s="11">
        <v>91.348804749099997</v>
      </c>
      <c r="F202" s="18">
        <v>7703</v>
      </c>
      <c r="G202" s="18">
        <v>7221</v>
      </c>
      <c r="H202" s="46">
        <v>4445</v>
      </c>
      <c r="I202" s="47">
        <v>1597</v>
      </c>
      <c r="J202" s="16">
        <v>133.9</v>
      </c>
      <c r="K202" s="42">
        <v>194.6</v>
      </c>
      <c r="L202" s="23">
        <v>96.264090909090925</v>
      </c>
      <c r="M202" s="30">
        <v>90.74</v>
      </c>
      <c r="N202" s="30">
        <v>3.4223809523809527</v>
      </c>
      <c r="O202" s="12">
        <v>1217.6730000000002</v>
      </c>
      <c r="P202" s="12">
        <v>1105.7729999999999</v>
      </c>
      <c r="Q202" s="12">
        <v>2687.7627272727268</v>
      </c>
      <c r="R202" s="12">
        <v>1287.2886363636362</v>
      </c>
      <c r="S202" s="34">
        <v>0.16</v>
      </c>
      <c r="T202" s="42">
        <v>101</v>
      </c>
      <c r="U202" s="42">
        <v>101.8</v>
      </c>
      <c r="V202" s="42">
        <v>84.2</v>
      </c>
      <c r="W202" s="42">
        <v>96.1</v>
      </c>
      <c r="X202" s="23">
        <f>[1]ישיר!D191/1000</f>
        <v>7761.2049999999999</v>
      </c>
      <c r="Y202" s="23">
        <v>4873.0140000000001</v>
      </c>
      <c r="Z202" s="23">
        <f>[1]עקיף!H191</f>
        <v>1597</v>
      </c>
      <c r="AA202" s="23">
        <f>[1]עקיף!P191</f>
        <v>1324</v>
      </c>
      <c r="AB202" s="23">
        <f>[1]עקיף!Q191</f>
        <v>7366</v>
      </c>
      <c r="AF202" s="78"/>
      <c r="AG202" s="78">
        <v>3036.6</v>
      </c>
      <c r="AH202" s="62">
        <v>77413.716050999996</v>
      </c>
      <c r="AI202" s="4">
        <v>293.8</v>
      </c>
      <c r="AJ202" s="69">
        <v>194.6</v>
      </c>
      <c r="AK202" s="68">
        <v>99.2</v>
      </c>
      <c r="AL202" s="74">
        <v>63.46032176934829</v>
      </c>
      <c r="AM202" s="72">
        <v>16272</v>
      </c>
      <c r="AT202" s="67"/>
      <c r="AU202" s="76"/>
      <c r="AV202" s="68"/>
      <c r="AW202" s="68"/>
    </row>
    <row r="203" spans="1:49" ht="16.5" thickBot="1">
      <c r="A203" s="28">
        <v>40725</v>
      </c>
      <c r="B203" s="29">
        <f t="shared" si="9"/>
        <v>7</v>
      </c>
      <c r="C203" s="29">
        <f t="shared" si="10"/>
        <v>3</v>
      </c>
      <c r="D203" s="29">
        <f t="shared" si="11"/>
        <v>2011</v>
      </c>
      <c r="E203" s="11">
        <v>91.085298581499998</v>
      </c>
      <c r="F203" s="18">
        <v>9000</v>
      </c>
      <c r="G203" s="18">
        <v>9803</v>
      </c>
      <c r="H203" s="46">
        <v>6677</v>
      </c>
      <c r="I203" s="47">
        <v>1549</v>
      </c>
      <c r="J203" s="16">
        <v>132.78</v>
      </c>
      <c r="K203" s="42">
        <v>197.7</v>
      </c>
      <c r="L203" s="23">
        <v>97.3035</v>
      </c>
      <c r="M203" s="30">
        <v>92.32</v>
      </c>
      <c r="N203" s="30">
        <v>3.4201904761904767</v>
      </c>
      <c r="O203" s="12">
        <v>1251.5471428571429</v>
      </c>
      <c r="P203" s="12">
        <v>1137.6571428571428</v>
      </c>
      <c r="Q203" s="12">
        <v>2810.5754999999999</v>
      </c>
      <c r="R203" s="12">
        <v>1325.1844999999998</v>
      </c>
      <c r="S203" s="34">
        <v>0.16</v>
      </c>
      <c r="T203" s="42">
        <v>101</v>
      </c>
      <c r="U203" s="42">
        <v>102.3</v>
      </c>
      <c r="V203" s="42">
        <v>82.8</v>
      </c>
      <c r="W203" s="42">
        <v>103.3</v>
      </c>
      <c r="X203" s="23">
        <f>[1]ישיר!D192/1000</f>
        <v>9605.982</v>
      </c>
      <c r="Y203" s="23">
        <v>5981.52</v>
      </c>
      <c r="Z203" s="23">
        <f>[1]עקיף!H192</f>
        <v>1549</v>
      </c>
      <c r="AA203" s="23">
        <f>[1]עקיף!P192</f>
        <v>1693</v>
      </c>
      <c r="AB203" s="23">
        <f>[1]עקיף!Q192</f>
        <v>9919</v>
      </c>
      <c r="AF203" s="78"/>
      <c r="AG203" s="78">
        <v>3047.5</v>
      </c>
      <c r="AH203" s="62">
        <v>77943.188685000001</v>
      </c>
      <c r="AI203" s="4">
        <v>294.39999999999998</v>
      </c>
      <c r="AJ203" s="69">
        <v>197.7</v>
      </c>
      <c r="AK203" s="68">
        <v>98.5</v>
      </c>
      <c r="AL203" s="74">
        <v>63.633426327816863</v>
      </c>
      <c r="AM203" s="72">
        <v>16116</v>
      </c>
      <c r="AT203" s="67"/>
      <c r="AU203" s="76"/>
      <c r="AV203" s="68"/>
      <c r="AW203" s="68"/>
    </row>
    <row r="204" spans="1:49" ht="16.5" thickBot="1">
      <c r="A204" s="28">
        <v>40756</v>
      </c>
      <c r="B204" s="29">
        <f t="shared" si="9"/>
        <v>8</v>
      </c>
      <c r="C204" s="29">
        <f t="shared" si="10"/>
        <v>3</v>
      </c>
      <c r="D204" s="29">
        <f t="shared" si="11"/>
        <v>2011</v>
      </c>
      <c r="E204" s="11">
        <v>91.5244755274</v>
      </c>
      <c r="F204" s="18">
        <v>8362</v>
      </c>
      <c r="G204" s="18">
        <v>7882</v>
      </c>
      <c r="H204" s="46">
        <v>4903</v>
      </c>
      <c r="I204" s="47">
        <v>1646</v>
      </c>
      <c r="J204" s="16">
        <v>132.68</v>
      </c>
      <c r="K204" s="42">
        <v>191.2</v>
      </c>
      <c r="L204" s="23">
        <v>86.333043478260862</v>
      </c>
      <c r="M204" s="30">
        <v>92.02</v>
      </c>
      <c r="N204" s="30">
        <v>3.5432727272727274</v>
      </c>
      <c r="O204" s="12">
        <v>1109.99</v>
      </c>
      <c r="P204" s="12">
        <v>999.18545454545449</v>
      </c>
      <c r="Q204" s="12">
        <v>2504.623043478261</v>
      </c>
      <c r="R204" s="12">
        <v>1185.3056521739127</v>
      </c>
      <c r="S204" s="34">
        <v>0.16</v>
      </c>
      <c r="T204" s="42">
        <v>99.1</v>
      </c>
      <c r="U204" s="42">
        <v>98.7</v>
      </c>
      <c r="V204" s="42">
        <v>81.599999999999994</v>
      </c>
      <c r="W204" s="42">
        <v>97.1</v>
      </c>
      <c r="X204" s="23">
        <f>[1]ישיר!D193/1000</f>
        <v>8089.7650000000003</v>
      </c>
      <c r="Y204" s="23">
        <v>5230.43</v>
      </c>
      <c r="Z204" s="23">
        <f>[1]עקיף!H193</f>
        <v>1646</v>
      </c>
      <c r="AA204" s="23">
        <f>[1]עקיף!P193</f>
        <v>1210</v>
      </c>
      <c r="AB204" s="23">
        <f>[1]עקיף!Q193</f>
        <v>7759</v>
      </c>
      <c r="AF204" s="78"/>
      <c r="AG204" s="78">
        <v>3047.3</v>
      </c>
      <c r="AH204" s="62">
        <v>78077.517917000005</v>
      </c>
      <c r="AI204" s="4">
        <v>293.39999999999998</v>
      </c>
      <c r="AJ204" s="69">
        <v>191.2</v>
      </c>
      <c r="AK204" s="68">
        <v>98.9</v>
      </c>
      <c r="AL204" s="74">
        <v>63.668100630820355</v>
      </c>
      <c r="AM204" s="72">
        <v>13260</v>
      </c>
      <c r="AT204" s="67"/>
      <c r="AU204" s="76"/>
      <c r="AV204" s="68"/>
      <c r="AW204" s="68"/>
    </row>
    <row r="205" spans="1:49" ht="16.5" thickBot="1">
      <c r="A205" s="28">
        <v>40787</v>
      </c>
      <c r="B205" s="29">
        <f t="shared" si="9"/>
        <v>9</v>
      </c>
      <c r="C205" s="29">
        <f t="shared" si="10"/>
        <v>3</v>
      </c>
      <c r="D205" s="29">
        <f t="shared" si="11"/>
        <v>2011</v>
      </c>
      <c r="E205" s="11">
        <v>91.348804749099997</v>
      </c>
      <c r="F205" s="18">
        <v>7900</v>
      </c>
      <c r="G205" s="18">
        <v>9314</v>
      </c>
      <c r="H205" s="46">
        <v>6634</v>
      </c>
      <c r="I205" s="47">
        <v>1238</v>
      </c>
      <c r="J205" s="16">
        <v>130.88999999999999</v>
      </c>
      <c r="K205" s="42">
        <v>193.3</v>
      </c>
      <c r="L205" s="23">
        <v>85.515238095238118</v>
      </c>
      <c r="M205" s="30">
        <v>88.96</v>
      </c>
      <c r="N205" s="30">
        <v>3.6805789473684216</v>
      </c>
      <c r="O205" s="12">
        <v>1056.522105263158</v>
      </c>
      <c r="P205" s="12">
        <v>951.38052631578944</v>
      </c>
      <c r="Q205" s="12">
        <v>2524.1361904761911</v>
      </c>
      <c r="R205" s="12">
        <v>1173.8790476190479</v>
      </c>
      <c r="S205" s="34">
        <v>0.16</v>
      </c>
      <c r="T205" s="42">
        <v>100.9</v>
      </c>
      <c r="U205" s="42">
        <v>100.4</v>
      </c>
      <c r="V205" s="42">
        <v>83.7</v>
      </c>
      <c r="W205" s="42">
        <v>103.2</v>
      </c>
      <c r="X205" s="23">
        <f>[1]ישיר!D194/1000</f>
        <v>8010.8419999999996</v>
      </c>
      <c r="Y205" s="23">
        <v>5281.5919999999996</v>
      </c>
      <c r="Z205" s="23">
        <f>[1]עקיף!H194</f>
        <v>1238</v>
      </c>
      <c r="AA205" s="23">
        <f>[1]עקיף!P194</f>
        <v>1356</v>
      </c>
      <c r="AB205" s="23">
        <f>[1]עקיף!Q194</f>
        <v>9228</v>
      </c>
      <c r="AF205" s="78"/>
      <c r="AG205" s="78">
        <v>3076.8</v>
      </c>
      <c r="AH205" s="62">
        <v>76331.199254000006</v>
      </c>
      <c r="AI205" s="4">
        <v>290.7</v>
      </c>
      <c r="AJ205" s="69">
        <v>193.3</v>
      </c>
      <c r="AK205" s="68">
        <v>100.2</v>
      </c>
      <c r="AL205" s="74">
        <v>63.890362449085572</v>
      </c>
      <c r="AM205" s="72">
        <v>12144</v>
      </c>
      <c r="AT205" s="67"/>
      <c r="AU205" s="76"/>
      <c r="AV205" s="68"/>
      <c r="AW205" s="68"/>
    </row>
    <row r="206" spans="1:49" ht="16.5" thickBot="1">
      <c r="A206" s="28">
        <v>40817</v>
      </c>
      <c r="B206" s="29">
        <f t="shared" si="9"/>
        <v>10</v>
      </c>
      <c r="C206" s="29">
        <f t="shared" si="10"/>
        <v>4</v>
      </c>
      <c r="D206" s="29">
        <f t="shared" si="11"/>
        <v>2011</v>
      </c>
      <c r="E206" s="11">
        <v>91.436640138200005</v>
      </c>
      <c r="F206" s="18">
        <v>7656</v>
      </c>
      <c r="G206" s="18">
        <v>7424</v>
      </c>
      <c r="H206" s="46">
        <v>4811</v>
      </c>
      <c r="I206" s="47">
        <v>1402</v>
      </c>
      <c r="J206" s="16">
        <v>135.12</v>
      </c>
      <c r="K206" s="42">
        <v>193.8</v>
      </c>
      <c r="L206" s="23">
        <v>86.322380952380954</v>
      </c>
      <c r="M206" s="30">
        <v>87.24</v>
      </c>
      <c r="N206" s="30">
        <v>3.666055555555555</v>
      </c>
      <c r="O206" s="12">
        <v>1100.6366666666665</v>
      </c>
      <c r="P206" s="12">
        <v>995.38777777777773</v>
      </c>
      <c r="Q206" s="12">
        <v>2594.7819047619046</v>
      </c>
      <c r="R206" s="12">
        <v>1207.2161904761904</v>
      </c>
      <c r="S206" s="34">
        <v>0.16</v>
      </c>
      <c r="T206" s="42">
        <v>101</v>
      </c>
      <c r="U206" s="42">
        <v>100</v>
      </c>
      <c r="V206" s="42">
        <v>83.3</v>
      </c>
      <c r="W206" s="42">
        <v>102.3</v>
      </c>
      <c r="X206" s="23">
        <f>[1]ישיר!D195/1000</f>
        <v>7870.9589999999998</v>
      </c>
      <c r="Y206" s="23">
        <v>5189.0429999999997</v>
      </c>
      <c r="Z206" s="23">
        <f>[1]עקיף!H195</f>
        <v>1402</v>
      </c>
      <c r="AA206" s="23">
        <f>[1]עקיף!P195</f>
        <v>1248</v>
      </c>
      <c r="AB206" s="23">
        <f>[1]עקיף!Q195</f>
        <v>7461</v>
      </c>
      <c r="AF206" s="78"/>
      <c r="AG206" s="78">
        <v>3061.7</v>
      </c>
      <c r="AH206" s="62">
        <v>76902.426936000003</v>
      </c>
      <c r="AI206" s="4">
        <v>289.60000000000002</v>
      </c>
      <c r="AJ206" s="69">
        <v>193.8</v>
      </c>
      <c r="AK206" s="68">
        <v>100.4</v>
      </c>
      <c r="AL206" s="74">
        <v>63.980940998604154</v>
      </c>
      <c r="AM206" s="72">
        <v>12924</v>
      </c>
      <c r="AT206" s="67"/>
      <c r="AU206" s="76"/>
      <c r="AV206" s="68"/>
      <c r="AW206" s="68"/>
    </row>
    <row r="207" spans="1:49" ht="16.5" thickBot="1">
      <c r="A207" s="28">
        <v>40848</v>
      </c>
      <c r="B207" s="29">
        <f t="shared" si="9"/>
        <v>11</v>
      </c>
      <c r="C207" s="29">
        <f t="shared" si="10"/>
        <v>4</v>
      </c>
      <c r="D207" s="29">
        <f t="shared" si="11"/>
        <v>2011</v>
      </c>
      <c r="E207" s="11">
        <v>91.348804749099997</v>
      </c>
      <c r="F207" s="18">
        <v>7738</v>
      </c>
      <c r="G207" s="18">
        <v>9295</v>
      </c>
      <c r="H207" s="46">
        <v>6323</v>
      </c>
      <c r="I207" s="47">
        <v>1607</v>
      </c>
      <c r="J207" s="16">
        <v>131.72999999999999</v>
      </c>
      <c r="K207" s="42">
        <v>198.5</v>
      </c>
      <c r="L207" s="23">
        <v>97.160476190476189</v>
      </c>
      <c r="M207" s="30">
        <v>88.26</v>
      </c>
      <c r="N207" s="30">
        <v>3.725454545454546</v>
      </c>
      <c r="O207" s="12">
        <v>1085.1700000000003</v>
      </c>
      <c r="P207" s="12">
        <v>984.75045454545432</v>
      </c>
      <c r="Q207" s="12">
        <v>2606.2890476190478</v>
      </c>
      <c r="R207" s="12">
        <v>1226.4147619047619</v>
      </c>
      <c r="S207" s="34">
        <v>0.16</v>
      </c>
      <c r="T207" s="42">
        <v>100.2</v>
      </c>
      <c r="U207" s="42">
        <v>100.7</v>
      </c>
      <c r="V207" s="42">
        <v>84.9</v>
      </c>
      <c r="W207" s="42">
        <v>103.1</v>
      </c>
      <c r="X207" s="23">
        <f>[1]ישיר!D196/1000</f>
        <v>7936.43</v>
      </c>
      <c r="Y207" s="23">
        <v>5322.241</v>
      </c>
      <c r="Z207" s="23">
        <f>[1]עקיף!H196</f>
        <v>1607</v>
      </c>
      <c r="AA207" s="23">
        <f>[1]עקיף!P196</f>
        <v>1442</v>
      </c>
      <c r="AB207" s="23">
        <f>[1]עקיף!Q196</f>
        <v>9372</v>
      </c>
      <c r="AF207" s="81"/>
      <c r="AG207" s="78">
        <v>3070.5</v>
      </c>
      <c r="AH207" s="62">
        <v>75154.291414000007</v>
      </c>
      <c r="AI207" s="4">
        <v>290.10000000000002</v>
      </c>
      <c r="AJ207" s="69">
        <v>198.5</v>
      </c>
      <c r="AK207" s="68">
        <v>101.1</v>
      </c>
      <c r="AL207" s="74">
        <v>64.290429234033525</v>
      </c>
      <c r="AM207" s="72">
        <v>14352</v>
      </c>
      <c r="AT207" s="67"/>
      <c r="AU207" s="76"/>
      <c r="AV207" s="68"/>
      <c r="AW207" s="68"/>
    </row>
    <row r="208" spans="1:49" ht="16.5" thickBot="1">
      <c r="A208" s="28">
        <v>40878</v>
      </c>
      <c r="B208" s="29">
        <f t="shared" si="9"/>
        <v>12</v>
      </c>
      <c r="C208" s="29">
        <f t="shared" si="10"/>
        <v>4</v>
      </c>
      <c r="D208" s="29">
        <f t="shared" si="11"/>
        <v>2011</v>
      </c>
      <c r="E208" s="11">
        <v>91.348804749099997</v>
      </c>
      <c r="F208" s="18">
        <v>9278</v>
      </c>
      <c r="G208" s="18">
        <v>8223</v>
      </c>
      <c r="H208" s="46">
        <v>5276</v>
      </c>
      <c r="I208" s="47">
        <v>1450</v>
      </c>
      <c r="J208" s="16">
        <v>131.59</v>
      </c>
      <c r="K208" s="42">
        <v>198.5</v>
      </c>
      <c r="L208" s="23">
        <v>98.562857142857155</v>
      </c>
      <c r="M208" s="30">
        <v>87.12</v>
      </c>
      <c r="N208" s="30">
        <v>3.7739047619047623</v>
      </c>
      <c r="O208" s="12">
        <v>1092.3142857142859</v>
      </c>
      <c r="P208" s="12">
        <v>987.49952380952391</v>
      </c>
      <c r="Q208" s="12">
        <v>2601.6700000000005</v>
      </c>
      <c r="R208" s="12">
        <v>1243.3228571428572</v>
      </c>
      <c r="S208" s="34">
        <v>0.16</v>
      </c>
      <c r="T208" s="42">
        <v>101.2</v>
      </c>
      <c r="U208" s="42">
        <v>101.8</v>
      </c>
      <c r="V208" s="42">
        <v>82.3</v>
      </c>
      <c r="W208" s="42">
        <v>103.6</v>
      </c>
      <c r="X208" s="23">
        <f>[1]ישיר!D197/1000</f>
        <v>8593.6689999999999</v>
      </c>
      <c r="Y208" s="23">
        <v>5998.5</v>
      </c>
      <c r="Z208" s="23">
        <f>[1]עקיף!H197</f>
        <v>1450</v>
      </c>
      <c r="AA208" s="23">
        <f>[1]עקיף!P197</f>
        <v>1174</v>
      </c>
      <c r="AB208" s="23">
        <f>[1]עקיף!Q197</f>
        <v>7900</v>
      </c>
      <c r="AF208" s="78"/>
      <c r="AG208" s="78">
        <v>3076.7</v>
      </c>
      <c r="AH208" s="62">
        <v>74875.186537999994</v>
      </c>
      <c r="AI208" s="4">
        <v>289.8</v>
      </c>
      <c r="AJ208" s="69">
        <v>198.4</v>
      </c>
      <c r="AK208" s="68">
        <v>101.2</v>
      </c>
      <c r="AL208" s="74">
        <v>64.467098207393178</v>
      </c>
      <c r="AM208" s="72">
        <v>15396</v>
      </c>
      <c r="AT208" s="67"/>
      <c r="AU208" s="76"/>
      <c r="AV208" s="68"/>
      <c r="AW208" s="68"/>
    </row>
    <row r="209" spans="1:49" ht="16.5" thickBot="1">
      <c r="A209" s="28">
        <v>40909</v>
      </c>
      <c r="B209" s="29">
        <f t="shared" si="9"/>
        <v>1</v>
      </c>
      <c r="C209" s="29">
        <f t="shared" si="10"/>
        <v>1</v>
      </c>
      <c r="D209" s="29">
        <f t="shared" si="11"/>
        <v>2012</v>
      </c>
      <c r="E209" s="11">
        <v>91.348804749099997</v>
      </c>
      <c r="F209" s="48">
        <v>12636</v>
      </c>
      <c r="G209" s="48">
        <v>10032</v>
      </c>
      <c r="H209" s="46">
        <v>7366</v>
      </c>
      <c r="I209" s="47">
        <v>1515</v>
      </c>
      <c r="J209" s="16">
        <v>130.04</v>
      </c>
      <c r="K209" s="42">
        <v>199.4</v>
      </c>
      <c r="L209" s="23">
        <v>100.2735</v>
      </c>
      <c r="M209" s="30">
        <v>87.06</v>
      </c>
      <c r="N209" s="30">
        <v>3.8089523809523818</v>
      </c>
      <c r="O209" s="12">
        <v>1120.6378260869565</v>
      </c>
      <c r="P209" s="12">
        <v>1015.8969565217393</v>
      </c>
      <c r="Q209" s="12">
        <v>2743.7949999999996</v>
      </c>
      <c r="R209" s="12">
        <v>1300.5780000000002</v>
      </c>
      <c r="S209" s="34">
        <v>0.16</v>
      </c>
      <c r="T209" s="42">
        <v>100.3</v>
      </c>
      <c r="U209" s="42">
        <v>99.7</v>
      </c>
      <c r="V209" s="42">
        <v>84.3</v>
      </c>
      <c r="W209" s="42">
        <v>102.7</v>
      </c>
      <c r="X209" s="23">
        <f>[1]ישיר!D198/1000</f>
        <v>13285.615</v>
      </c>
      <c r="Y209" s="23">
        <v>10108.567999999999</v>
      </c>
      <c r="Z209" s="23">
        <f>[1]עקיף!H198</f>
        <v>1515</v>
      </c>
      <c r="AA209" s="23">
        <f>[1]עקיף!P198</f>
        <v>1579</v>
      </c>
      <c r="AB209" s="23">
        <f>[1]עקיף!Q198</f>
        <v>10460</v>
      </c>
      <c r="AC209" s="60">
        <f>[2]monthly!AY306</f>
        <v>5.7214457150924748E-2</v>
      </c>
      <c r="AD209" s="60">
        <f>[2]monthly!AZ306</f>
        <v>0.77910078372061042</v>
      </c>
      <c r="AE209" s="60">
        <f>[2]monthly!BA306</f>
        <v>0.73452495531417572</v>
      </c>
      <c r="AF209" s="79">
        <v>8583.6</v>
      </c>
      <c r="AG209" s="79">
        <v>3113.4</v>
      </c>
      <c r="AH209" s="62">
        <v>77115.164279999997</v>
      </c>
      <c r="AI209" s="4">
        <v>290.10000000000002</v>
      </c>
      <c r="AJ209" s="69">
        <v>199.4</v>
      </c>
      <c r="AK209" s="68">
        <v>101.1</v>
      </c>
      <c r="AL209" s="74">
        <v>64.643735015761834</v>
      </c>
      <c r="AM209" s="72">
        <v>16428</v>
      </c>
      <c r="AT209" s="67"/>
      <c r="AU209" s="76"/>
      <c r="AV209" s="68"/>
      <c r="AW209" s="68"/>
    </row>
    <row r="210" spans="1:49" ht="16.5" thickBot="1">
      <c r="A210" s="28">
        <v>40940</v>
      </c>
      <c r="B210" s="29">
        <f t="shared" si="9"/>
        <v>2</v>
      </c>
      <c r="C210" s="29">
        <f t="shared" si="10"/>
        <v>1</v>
      </c>
      <c r="D210" s="29">
        <f t="shared" si="11"/>
        <v>2012</v>
      </c>
      <c r="E210" s="11">
        <v>91.348804749099997</v>
      </c>
      <c r="F210" s="48">
        <v>8934</v>
      </c>
      <c r="G210" s="48">
        <v>7484</v>
      </c>
      <c r="H210" s="46">
        <v>4741</v>
      </c>
      <c r="I210" s="44">
        <v>1650</v>
      </c>
      <c r="J210" s="16">
        <v>130.58000000000001</v>
      </c>
      <c r="K210" s="42">
        <v>200.6</v>
      </c>
      <c r="L210" s="23">
        <v>102.20399999999999</v>
      </c>
      <c r="M210" s="30">
        <v>86.34</v>
      </c>
      <c r="N210" s="30">
        <v>3.7408095238095238</v>
      </c>
      <c r="O210" s="12">
        <v>1107.2242105263156</v>
      </c>
      <c r="P210" s="12">
        <v>1008.9189473684212</v>
      </c>
      <c r="Q210" s="12">
        <v>2928.9805000000006</v>
      </c>
      <c r="R210" s="12">
        <v>1352.4875</v>
      </c>
      <c r="S210" s="34">
        <v>0.16</v>
      </c>
      <c r="T210" s="42">
        <v>99.6</v>
      </c>
      <c r="U210" s="42">
        <v>101.1</v>
      </c>
      <c r="V210" s="42">
        <v>85.3</v>
      </c>
      <c r="W210" s="42">
        <v>102.5</v>
      </c>
      <c r="X210" s="23">
        <f>[1]ישיר!D199/1000</f>
        <v>8898.1530000000002</v>
      </c>
      <c r="Y210" s="23">
        <v>5190.7780000000002</v>
      </c>
      <c r="Z210" s="23">
        <f>[1]עקיף!H199</f>
        <v>1650</v>
      </c>
      <c r="AA210" s="23">
        <f>[1]עקיף!P199</f>
        <v>1201</v>
      </c>
      <c r="AB210" s="23">
        <f>[1]עקיף!Q199</f>
        <v>7592</v>
      </c>
      <c r="AC210" s="60">
        <f>[2]monthly!AY307</f>
        <v>5.9804404418490116E-2</v>
      </c>
      <c r="AD210" s="60">
        <f>[2]monthly!AZ307</f>
        <v>0.78078391518114654</v>
      </c>
      <c r="AE210" s="60">
        <f>[2]monthly!BA307</f>
        <v>0.73408959815420116</v>
      </c>
      <c r="AF210" s="79">
        <v>8493.6</v>
      </c>
      <c r="AG210" s="79">
        <v>3117.2</v>
      </c>
      <c r="AH210" s="62">
        <v>77100.297111000007</v>
      </c>
      <c r="AI210" s="4">
        <v>290.5</v>
      </c>
      <c r="AJ210" s="69">
        <v>200.6</v>
      </c>
      <c r="AK210" s="68">
        <v>97.5</v>
      </c>
      <c r="AL210" s="74">
        <v>64.576831280822731</v>
      </c>
      <c r="AM210" s="72">
        <v>19344</v>
      </c>
      <c r="AT210" s="67"/>
      <c r="AU210" s="76"/>
      <c r="AV210" s="68"/>
      <c r="AW210" s="68"/>
    </row>
    <row r="211" spans="1:49" ht="16.5" thickBot="1">
      <c r="A211" s="28">
        <v>40969</v>
      </c>
      <c r="B211" s="29">
        <f t="shared" si="9"/>
        <v>3</v>
      </c>
      <c r="C211" s="29">
        <f t="shared" si="10"/>
        <v>1</v>
      </c>
      <c r="D211" s="29">
        <f t="shared" si="11"/>
        <v>2012</v>
      </c>
      <c r="E211" s="11">
        <v>91.700146305800004</v>
      </c>
      <c r="F211" s="48">
        <v>8268</v>
      </c>
      <c r="G211" s="48">
        <v>9146</v>
      </c>
      <c r="H211" s="46">
        <v>6135</v>
      </c>
      <c r="I211" s="47">
        <v>1443</v>
      </c>
      <c r="J211" s="16">
        <v>130.34</v>
      </c>
      <c r="K211" s="42">
        <v>198</v>
      </c>
      <c r="L211" s="23">
        <v>106.15772727272726</v>
      </c>
      <c r="M211" s="30">
        <v>86.15</v>
      </c>
      <c r="N211" s="30">
        <v>3.7632000000000003</v>
      </c>
      <c r="O211" s="12">
        <v>1107.9384999999997</v>
      </c>
      <c r="P211" s="12">
        <v>1015.793</v>
      </c>
      <c r="Q211" s="12">
        <v>3035.9159090909093</v>
      </c>
      <c r="R211" s="12">
        <v>1389.24</v>
      </c>
      <c r="S211" s="34">
        <v>0.16</v>
      </c>
      <c r="T211" s="42">
        <v>100.3</v>
      </c>
      <c r="U211" s="42">
        <v>100.9</v>
      </c>
      <c r="V211" s="42">
        <v>82.4</v>
      </c>
      <c r="W211" s="42">
        <v>106.1</v>
      </c>
      <c r="X211" s="23">
        <f>[1]ישיר!D200/1000</f>
        <v>8447.3809999999994</v>
      </c>
      <c r="Y211" s="23">
        <v>5371.9870000000001</v>
      </c>
      <c r="Z211" s="23">
        <f>[1]עקיף!H200</f>
        <v>1443</v>
      </c>
      <c r="AA211" s="23">
        <f>[1]עקיף!P200</f>
        <v>1439</v>
      </c>
      <c r="AB211" s="23">
        <f>[1]עקיף!Q200</f>
        <v>9017</v>
      </c>
      <c r="AC211" s="60">
        <f>[2]monthly!AY308</f>
        <v>6.038630499965135E-2</v>
      </c>
      <c r="AD211" s="60">
        <f>[2]monthly!AZ308</f>
        <v>0.78572211264518954</v>
      </c>
      <c r="AE211" s="60">
        <f>[2]monthly!BA308</f>
        <v>0.73827525750602674</v>
      </c>
      <c r="AF211" s="79">
        <v>8563.2999999999993</v>
      </c>
      <c r="AG211" s="79">
        <v>3129.7</v>
      </c>
      <c r="AH211" s="62">
        <v>76997.17409</v>
      </c>
      <c r="AI211" s="4">
        <v>293.39999999999998</v>
      </c>
      <c r="AJ211" s="69">
        <v>198</v>
      </c>
      <c r="AK211" s="68">
        <v>100.2</v>
      </c>
      <c r="AL211" s="74">
        <v>64.828136017057915</v>
      </c>
      <c r="AM211" s="72">
        <v>17556</v>
      </c>
      <c r="AT211" s="67"/>
      <c r="AU211" s="68"/>
      <c r="AV211" s="68"/>
      <c r="AW211" s="68"/>
    </row>
    <row r="212" spans="1:49" ht="16.5" thickBot="1">
      <c r="A212" s="28">
        <v>41000</v>
      </c>
      <c r="B212" s="29">
        <f t="shared" si="9"/>
        <v>4</v>
      </c>
      <c r="C212" s="29">
        <f t="shared" si="10"/>
        <v>2</v>
      </c>
      <c r="D212" s="29">
        <f t="shared" si="11"/>
        <v>2012</v>
      </c>
      <c r="E212" s="11">
        <v>92.490664808399998</v>
      </c>
      <c r="F212" s="48">
        <v>8767</v>
      </c>
      <c r="G212" s="48">
        <v>7810</v>
      </c>
      <c r="H212" s="46">
        <v>5297</v>
      </c>
      <c r="I212" s="47">
        <v>1343</v>
      </c>
      <c r="J212" s="16">
        <v>130.82</v>
      </c>
      <c r="K212" s="42">
        <v>204.6</v>
      </c>
      <c r="L212" s="23">
        <v>103.321</v>
      </c>
      <c r="M212" s="30">
        <v>85.76</v>
      </c>
      <c r="N212" s="30">
        <v>3.7512941176470589</v>
      </c>
      <c r="O212" s="12">
        <v>1143.3521052631579</v>
      </c>
      <c r="P212" s="12">
        <v>1051.4126315789474</v>
      </c>
      <c r="Q212" s="12">
        <v>3035.1014999999993</v>
      </c>
      <c r="R212" s="12">
        <v>1386.4289999999996</v>
      </c>
      <c r="S212" s="34">
        <v>0.16</v>
      </c>
      <c r="T212" s="42">
        <v>103.6</v>
      </c>
      <c r="U212" s="42">
        <v>104.4</v>
      </c>
      <c r="V212" s="42">
        <v>86.6</v>
      </c>
      <c r="W212" s="42">
        <v>105.5</v>
      </c>
      <c r="X212" s="23">
        <f>[1]ישיר!D201/1000</f>
        <v>8624.6119999999992</v>
      </c>
      <c r="Y212" s="23">
        <v>5592.0990000000002</v>
      </c>
      <c r="Z212" s="23">
        <f>[1]עקיף!H201</f>
        <v>1343</v>
      </c>
      <c r="AA212" s="23">
        <f>[1]עקיף!P201</f>
        <v>1211</v>
      </c>
      <c r="AB212" s="23">
        <f>[1]עקיף!Q201</f>
        <v>7851</v>
      </c>
      <c r="AC212" s="60">
        <f>[2]monthly!AY309</f>
        <v>5.9438731044099705E-2</v>
      </c>
      <c r="AD212" s="60">
        <f>[2]monthly!AZ309</f>
        <v>0.78601961966350631</v>
      </c>
      <c r="AE212" s="60">
        <f>[2]monthly!BA309</f>
        <v>0.73927220913026803</v>
      </c>
      <c r="AF212" s="79">
        <v>8603.7999999999993</v>
      </c>
      <c r="AG212" s="79">
        <v>3132.9</v>
      </c>
      <c r="AH212" s="62">
        <v>76630.285585000005</v>
      </c>
      <c r="AI212" s="4">
        <v>294.60000000000002</v>
      </c>
      <c r="AJ212" s="69">
        <v>204.5</v>
      </c>
      <c r="AK212" s="68">
        <v>104.3</v>
      </c>
      <c r="AL212" s="74">
        <v>65.273964733519747</v>
      </c>
      <c r="AM212" s="72">
        <v>21972</v>
      </c>
      <c r="AT212" s="67"/>
      <c r="AU212" s="76"/>
      <c r="AV212" s="68"/>
      <c r="AW212" s="68"/>
    </row>
    <row r="213" spans="1:49" ht="16.5" thickBot="1">
      <c r="A213" s="28">
        <v>41030</v>
      </c>
      <c r="B213" s="29">
        <f t="shared" si="9"/>
        <v>5</v>
      </c>
      <c r="C213" s="29">
        <f t="shared" si="10"/>
        <v>2</v>
      </c>
      <c r="D213" s="29">
        <f t="shared" si="11"/>
        <v>2012</v>
      </c>
      <c r="E213" s="11">
        <v>92.490664808399998</v>
      </c>
      <c r="F213" s="48">
        <v>8758</v>
      </c>
      <c r="G213" s="48">
        <v>9064</v>
      </c>
      <c r="H213" s="46">
        <v>5903</v>
      </c>
      <c r="I213" s="47">
        <v>1504</v>
      </c>
      <c r="J213" s="16">
        <v>128.46</v>
      </c>
      <c r="K213" s="42">
        <v>204.3</v>
      </c>
      <c r="L213" s="23">
        <v>94.057500000000005</v>
      </c>
      <c r="M213" s="30">
        <v>86.63</v>
      </c>
      <c r="N213" s="30">
        <v>3.8273478260869562</v>
      </c>
      <c r="O213" s="12">
        <v>1102.028181818182</v>
      </c>
      <c r="P213" s="12">
        <v>1010.9859090909089</v>
      </c>
      <c r="Q213" s="12">
        <v>2900.409090909091</v>
      </c>
      <c r="R213" s="12">
        <v>1341.2727272727273</v>
      </c>
      <c r="S213" s="34">
        <v>0.16</v>
      </c>
      <c r="T213" s="42">
        <v>102.6</v>
      </c>
      <c r="U213" s="42">
        <v>102.6</v>
      </c>
      <c r="V213" s="42">
        <v>86.2</v>
      </c>
      <c r="W213" s="42">
        <v>103.8</v>
      </c>
      <c r="X213" s="23">
        <f>[1]ישיר!D202/1000</f>
        <v>8884.0959999999995</v>
      </c>
      <c r="Y213" s="23">
        <v>5650.8149999999996</v>
      </c>
      <c r="Z213" s="23">
        <f>[1]עקיף!H202</f>
        <v>1504</v>
      </c>
      <c r="AA213" s="23">
        <f>[1]עקיף!P202</f>
        <v>1591</v>
      </c>
      <c r="AB213" s="23">
        <f>[1]עקיף!Q202</f>
        <v>8998</v>
      </c>
      <c r="AC213" s="60">
        <f>[2]monthly!AY310</f>
        <v>6.1380985426786952E-2</v>
      </c>
      <c r="AD213" s="60">
        <f>[2]monthly!AZ310</f>
        <v>0.78792683927057994</v>
      </c>
      <c r="AE213" s="60">
        <f>[2]monthly!BA310</f>
        <v>0.73956311343193815</v>
      </c>
      <c r="AF213" s="79">
        <v>8688.5</v>
      </c>
      <c r="AG213" s="79">
        <v>3134.9</v>
      </c>
      <c r="AH213" s="62">
        <v>74792.186480000004</v>
      </c>
      <c r="AI213" s="4">
        <v>294.39999999999998</v>
      </c>
      <c r="AJ213" s="69">
        <v>204.3</v>
      </c>
      <c r="AK213" s="68">
        <v>104.2</v>
      </c>
      <c r="AL213" s="74">
        <v>65.396449612354928</v>
      </c>
      <c r="AM213" s="72">
        <v>20892</v>
      </c>
      <c r="AT213" s="67"/>
      <c r="AU213" s="76"/>
      <c r="AV213" s="68"/>
      <c r="AW213" s="68"/>
    </row>
    <row r="214" spans="1:49" ht="16.5" thickBot="1">
      <c r="A214" s="28">
        <v>41061</v>
      </c>
      <c r="B214" s="29">
        <f t="shared" si="9"/>
        <v>6</v>
      </c>
      <c r="C214" s="29">
        <f t="shared" si="10"/>
        <v>2</v>
      </c>
      <c r="D214" s="29">
        <f t="shared" si="11"/>
        <v>2012</v>
      </c>
      <c r="E214" s="11">
        <v>92.227158640900001</v>
      </c>
      <c r="F214" s="48">
        <v>8330</v>
      </c>
      <c r="G214" s="48">
        <v>7618</v>
      </c>
      <c r="H214" s="46">
        <v>4668</v>
      </c>
      <c r="I214" s="47">
        <v>1644</v>
      </c>
      <c r="J214" s="13">
        <v>129.91999999999999</v>
      </c>
      <c r="K214" s="42">
        <v>204.2</v>
      </c>
      <c r="L214" s="23">
        <v>84.383571428571429</v>
      </c>
      <c r="M214" s="30">
        <v>86.27</v>
      </c>
      <c r="N214" s="30">
        <v>3.8927619047619055</v>
      </c>
      <c r="O214" s="12">
        <v>1069.0335000000002</v>
      </c>
      <c r="P214" s="12">
        <v>983.25500000000011</v>
      </c>
      <c r="Q214" s="12">
        <v>2850.3538095238091</v>
      </c>
      <c r="R214" s="12">
        <v>1323.4842857142858</v>
      </c>
      <c r="S214" s="34">
        <v>0.16</v>
      </c>
      <c r="T214" s="42">
        <v>101.8</v>
      </c>
      <c r="U214" s="42">
        <v>99.3</v>
      </c>
      <c r="V214" s="42">
        <v>84</v>
      </c>
      <c r="W214" s="42">
        <v>104.2</v>
      </c>
      <c r="X214" s="23">
        <f>[1]ישיר!D203/1000</f>
        <v>8140.81</v>
      </c>
      <c r="Y214" s="23">
        <v>5001.2250000000004</v>
      </c>
      <c r="Z214" s="23">
        <f>[1]עקיף!H203</f>
        <v>1644</v>
      </c>
      <c r="AA214" s="23">
        <f>[1]עקיף!P203</f>
        <v>1076</v>
      </c>
      <c r="AB214" s="23">
        <f>[1]עקיף!Q203</f>
        <v>7388</v>
      </c>
      <c r="AC214" s="60">
        <f>[2]monthly!AY311</f>
        <v>5.9676693551178647E-2</v>
      </c>
      <c r="AD214" s="60">
        <f>[2]monthly!AZ311</f>
        <v>0.78970531955606593</v>
      </c>
      <c r="AE214" s="60">
        <f>[2]monthly!BA311</f>
        <v>0.74257831720518286</v>
      </c>
      <c r="AF214" s="79">
        <v>8705.7999999999993</v>
      </c>
      <c r="AG214" s="79">
        <v>3129.5</v>
      </c>
      <c r="AH214" s="62">
        <v>75118.681467999995</v>
      </c>
      <c r="AI214" s="4">
        <v>296.2</v>
      </c>
      <c r="AJ214" s="69">
        <v>204.2</v>
      </c>
      <c r="AK214" s="68">
        <v>103.6</v>
      </c>
      <c r="AL214" s="74">
        <v>65.507104237592571</v>
      </c>
      <c r="AM214" s="72">
        <v>20988</v>
      </c>
      <c r="AT214" s="67"/>
      <c r="AU214" s="76"/>
      <c r="AV214" s="68"/>
      <c r="AW214" s="68"/>
    </row>
    <row r="215" spans="1:49" ht="16.5" thickBot="1">
      <c r="A215" s="28">
        <v>41091</v>
      </c>
      <c r="B215" s="29">
        <f t="shared" si="9"/>
        <v>7</v>
      </c>
      <c r="C215" s="29">
        <f t="shared" si="10"/>
        <v>3</v>
      </c>
      <c r="D215" s="29">
        <f t="shared" si="11"/>
        <v>2012</v>
      </c>
      <c r="E215" s="11">
        <v>92.314994030099996</v>
      </c>
      <c r="F215" s="48">
        <v>9098</v>
      </c>
      <c r="G215" s="48">
        <v>10540</v>
      </c>
      <c r="H215" s="46">
        <v>7107</v>
      </c>
      <c r="I215" s="47">
        <v>1852</v>
      </c>
      <c r="J215" s="16">
        <v>129</v>
      </c>
      <c r="K215" s="42">
        <v>204.9</v>
      </c>
      <c r="L215" s="23">
        <v>87.349285714285699</v>
      </c>
      <c r="M215" s="30">
        <v>85.82</v>
      </c>
      <c r="N215" s="30">
        <v>3.9910909090909086</v>
      </c>
      <c r="O215" s="12">
        <v>1075.9586363636365</v>
      </c>
      <c r="P215" s="12">
        <v>980.54363636363632</v>
      </c>
      <c r="Q215" s="12">
        <v>2920.1123809523806</v>
      </c>
      <c r="R215" s="12">
        <v>1359.7761904761905</v>
      </c>
      <c r="S215" s="34">
        <v>0.16</v>
      </c>
      <c r="T215" s="42">
        <v>106.8</v>
      </c>
      <c r="U215" s="42">
        <v>104.5</v>
      </c>
      <c r="V215" s="42">
        <v>85.2</v>
      </c>
      <c r="W215" s="42">
        <v>108</v>
      </c>
      <c r="X215" s="23">
        <f>[1]ישיר!D204/1000</f>
        <v>9351.1419999999998</v>
      </c>
      <c r="Y215" s="23">
        <v>6293.3559999999998</v>
      </c>
      <c r="Z215" s="23">
        <f>[1]עקיף!H204</f>
        <v>1852</v>
      </c>
      <c r="AA215" s="23">
        <f>[1]עקיף!P204</f>
        <v>1666</v>
      </c>
      <c r="AB215" s="23">
        <f>[1]עקיף!Q204</f>
        <v>10625</v>
      </c>
      <c r="AC215" s="60">
        <f>[2]monthly!AY312</f>
        <v>5.8187632521116479E-2</v>
      </c>
      <c r="AD215" s="60">
        <f>[2]monthly!AZ312</f>
        <v>0.7873074081169098</v>
      </c>
      <c r="AE215" s="60">
        <f>[2]monthly!BA312</f>
        <v>0.74149585397225037</v>
      </c>
      <c r="AF215" s="79">
        <v>8698.7999999999993</v>
      </c>
      <c r="AG215" s="79">
        <v>3148.8</v>
      </c>
      <c r="AH215" s="62">
        <v>75385.528527999995</v>
      </c>
      <c r="AI215" s="4">
        <v>298.3</v>
      </c>
      <c r="AJ215" s="69">
        <v>204.9</v>
      </c>
      <c r="AK215" s="68">
        <v>107.5</v>
      </c>
      <c r="AL215" s="74">
        <v>65.91516755384724</v>
      </c>
      <c r="AM215" s="72">
        <v>23772</v>
      </c>
      <c r="AT215" s="67"/>
      <c r="AU215" s="76"/>
      <c r="AV215" s="68"/>
      <c r="AW215" s="68"/>
    </row>
    <row r="216" spans="1:49" ht="16.5" thickBot="1">
      <c r="A216" s="28">
        <v>41122</v>
      </c>
      <c r="B216" s="29">
        <f t="shared" si="9"/>
        <v>8</v>
      </c>
      <c r="C216" s="29">
        <f t="shared" si="10"/>
        <v>3</v>
      </c>
      <c r="D216" s="29">
        <f t="shared" si="11"/>
        <v>2012</v>
      </c>
      <c r="E216" s="11">
        <v>93.281183311099994</v>
      </c>
      <c r="F216" s="48">
        <v>7934</v>
      </c>
      <c r="G216" s="48">
        <v>8749</v>
      </c>
      <c r="H216" s="46">
        <v>5827</v>
      </c>
      <c r="I216" s="47">
        <v>1533</v>
      </c>
      <c r="J216" s="16">
        <v>125.6</v>
      </c>
      <c r="K216" s="42">
        <v>208.5</v>
      </c>
      <c r="L216" s="23">
        <v>93.196956521739125</v>
      </c>
      <c r="M216" s="30">
        <v>84.16</v>
      </c>
      <c r="N216" s="30">
        <v>4.0153478260869573</v>
      </c>
      <c r="O216" s="12">
        <v>1105.7922727272723</v>
      </c>
      <c r="P216" s="12">
        <v>988.28136363636372</v>
      </c>
      <c r="Q216" s="12">
        <v>3032.666521739131</v>
      </c>
      <c r="R216" s="12">
        <v>1403.448260869565</v>
      </c>
      <c r="S216" s="34">
        <v>0.16</v>
      </c>
      <c r="T216" s="42">
        <v>105.5</v>
      </c>
      <c r="U216" s="42">
        <v>102.5</v>
      </c>
      <c r="V216" s="42">
        <v>85.6</v>
      </c>
      <c r="W216" s="42">
        <v>111.2</v>
      </c>
      <c r="X216" s="23">
        <f>[1]ישיר!D205/1000</f>
        <v>7982.8180000000002</v>
      </c>
      <c r="Y216" s="23">
        <v>5218.54</v>
      </c>
      <c r="Z216" s="23">
        <f>[1]עקיף!H205</f>
        <v>1533</v>
      </c>
      <c r="AA216" s="23">
        <f>[1]עקיף!P205</f>
        <v>1425</v>
      </c>
      <c r="AB216" s="23">
        <f>[1]עקיף!Q205</f>
        <v>8785</v>
      </c>
      <c r="AC216" s="60">
        <f>[2]monthly!AY313</f>
        <v>5.6871057801675111E-2</v>
      </c>
      <c r="AD216" s="60">
        <f>[2]monthly!AZ313</f>
        <v>0.79474606913931967</v>
      </c>
      <c r="AE216" s="60">
        <f>[2]monthly!BA313</f>
        <v>0.74954801950364336</v>
      </c>
      <c r="AF216" s="79">
        <v>8689</v>
      </c>
      <c r="AG216" s="79">
        <v>3154</v>
      </c>
      <c r="AH216" s="62">
        <v>75616.262570000006</v>
      </c>
      <c r="AI216" s="4">
        <v>300.39999999999998</v>
      </c>
      <c r="AJ216" s="69">
        <v>208.4</v>
      </c>
      <c r="AK216" s="68">
        <v>112.8</v>
      </c>
      <c r="AL216" s="74">
        <v>66.042384318557836</v>
      </c>
      <c r="AM216" s="72">
        <v>32928</v>
      </c>
      <c r="AT216" s="67"/>
      <c r="AU216" s="76"/>
      <c r="AV216" s="68"/>
      <c r="AW216" s="68"/>
    </row>
    <row r="217" spans="1:49" ht="16.5" thickBot="1">
      <c r="A217" s="28">
        <v>41153</v>
      </c>
      <c r="B217" s="29">
        <f t="shared" si="9"/>
        <v>9</v>
      </c>
      <c r="C217" s="29">
        <f t="shared" si="10"/>
        <v>3</v>
      </c>
      <c r="D217" s="29">
        <f t="shared" si="11"/>
        <v>2012</v>
      </c>
      <c r="E217" s="11">
        <v>93.281183311099994</v>
      </c>
      <c r="F217" s="48">
        <v>8739</v>
      </c>
      <c r="G217" s="48">
        <v>9464</v>
      </c>
      <c r="H217" s="46">
        <v>7307</v>
      </c>
      <c r="I217" s="47">
        <v>1132.5</v>
      </c>
      <c r="J217" s="16">
        <v>124.6</v>
      </c>
      <c r="K217" s="42">
        <v>204.4</v>
      </c>
      <c r="L217" s="23">
        <v>95.534736842105275</v>
      </c>
      <c r="M217" s="30">
        <v>83.67</v>
      </c>
      <c r="N217" s="30">
        <v>3.9586249999999996</v>
      </c>
      <c r="O217" s="12">
        <v>1134.2506666666666</v>
      </c>
      <c r="P217" s="12">
        <v>1010.5766666666667</v>
      </c>
      <c r="Q217" s="12">
        <v>3136.802631578948</v>
      </c>
      <c r="R217" s="12">
        <v>1443.4194736842105</v>
      </c>
      <c r="S217" s="31">
        <v>0.17</v>
      </c>
      <c r="T217" s="42">
        <v>101.3</v>
      </c>
      <c r="U217" s="42">
        <v>102.1</v>
      </c>
      <c r="V217" s="42">
        <v>83.8</v>
      </c>
      <c r="W217" s="42">
        <v>105</v>
      </c>
      <c r="X217" s="23">
        <f>[1]ישיר!D206/1000</f>
        <v>8810.7099999999991</v>
      </c>
      <c r="Y217" s="23">
        <v>5418.7719999999999</v>
      </c>
      <c r="Z217" s="23">
        <f>[1]עקיף!H206</f>
        <v>1132.5</v>
      </c>
      <c r="AA217" s="23">
        <f>[1]עקיף!P206</f>
        <v>1466.5</v>
      </c>
      <c r="AB217" s="23">
        <f>[1]עקיף!Q206</f>
        <v>9906</v>
      </c>
      <c r="AC217" s="60">
        <f>[2]monthly!AY314</f>
        <v>5.8424007207706699E-2</v>
      </c>
      <c r="AD217" s="60">
        <f>[2]monthly!AZ314</f>
        <v>0.78844840304909714</v>
      </c>
      <c r="AE217" s="60">
        <f>[2]monthly!BA314</f>
        <v>0.74238408786645171</v>
      </c>
      <c r="AF217" s="79">
        <v>8692.1</v>
      </c>
      <c r="AG217" s="79">
        <v>3152.2</v>
      </c>
      <c r="AH217" s="62">
        <v>76225.714957999997</v>
      </c>
      <c r="AI217" s="4">
        <v>302.60000000000002</v>
      </c>
      <c r="AJ217" s="69">
        <v>204.4</v>
      </c>
      <c r="AK217" s="68">
        <v>109.6</v>
      </c>
      <c r="AL217" s="74">
        <v>66.007718289964473</v>
      </c>
      <c r="AM217" s="72">
        <v>20964</v>
      </c>
      <c r="AT217" s="67"/>
      <c r="AU217" s="76"/>
      <c r="AV217" s="68"/>
      <c r="AW217" s="68"/>
    </row>
    <row r="218" spans="1:49" ht="16.5" thickBot="1">
      <c r="A218" s="28">
        <v>41183</v>
      </c>
      <c r="B218" s="29">
        <f t="shared" si="9"/>
        <v>10</v>
      </c>
      <c r="C218" s="29">
        <f t="shared" si="10"/>
        <v>4</v>
      </c>
      <c r="D218" s="29">
        <f t="shared" si="11"/>
        <v>2012</v>
      </c>
      <c r="E218" s="11">
        <v>93.105512532700004</v>
      </c>
      <c r="F218" s="48">
        <v>7918</v>
      </c>
      <c r="G218" s="48">
        <v>9032</v>
      </c>
      <c r="H218" s="46">
        <v>5641</v>
      </c>
      <c r="I218" s="47">
        <v>1530.5</v>
      </c>
      <c r="J218" s="16">
        <v>123.5</v>
      </c>
      <c r="K218" s="42">
        <v>205.6</v>
      </c>
      <c r="L218" s="23">
        <v>92.001379310344831</v>
      </c>
      <c r="M218" s="30">
        <v>83.37</v>
      </c>
      <c r="N218" s="30">
        <v>3.851142857142857</v>
      </c>
      <c r="O218" s="12">
        <v>1213.7190000000003</v>
      </c>
      <c r="P218" s="12">
        <v>1075.3390000000002</v>
      </c>
      <c r="Q218" s="12">
        <v>3060.2619047619046</v>
      </c>
      <c r="R218" s="12">
        <v>1437.8166666666666</v>
      </c>
      <c r="S218" s="34">
        <v>0.17</v>
      </c>
      <c r="T218" s="42">
        <v>103.4</v>
      </c>
      <c r="U218" s="42">
        <v>103.1</v>
      </c>
      <c r="V218" s="42">
        <v>84.6</v>
      </c>
      <c r="W218" s="42">
        <v>105.8</v>
      </c>
      <c r="X218" s="23">
        <f>[1]ישיר!D207/1000</f>
        <v>7852.1850000000004</v>
      </c>
      <c r="Y218" s="23">
        <v>5275.4279999999999</v>
      </c>
      <c r="Z218" s="23">
        <f>[1]עקיף!H207</f>
        <v>1530.5</v>
      </c>
      <c r="AA218" s="23">
        <f>[1]עקיף!P207</f>
        <v>1314.5</v>
      </c>
      <c r="AB218" s="23">
        <f>[1]עקיף!Q207</f>
        <v>8486</v>
      </c>
      <c r="AC218" s="60">
        <f>[2]monthly!AY315</f>
        <v>6.0538116591928252E-2</v>
      </c>
      <c r="AD218" s="60">
        <f>[2]monthly!AZ315</f>
        <v>0.7898752111601548</v>
      </c>
      <c r="AE218" s="60">
        <f>[2]monthly!BA315</f>
        <v>0.74205765353386743</v>
      </c>
      <c r="AF218" s="79">
        <v>8734.7999999999993</v>
      </c>
      <c r="AG218" s="79">
        <v>3158.5</v>
      </c>
      <c r="AH218" s="62">
        <v>75896.316260000007</v>
      </c>
      <c r="AI218" s="4">
        <v>305.8</v>
      </c>
      <c r="AJ218" s="69">
        <v>205.5</v>
      </c>
      <c r="AK218" s="68">
        <v>106.2</v>
      </c>
      <c r="AL218" s="74">
        <v>66.100020317556982</v>
      </c>
      <c r="AM218" s="72">
        <v>23796</v>
      </c>
      <c r="AT218" s="67"/>
      <c r="AU218" s="76"/>
      <c r="AV218" s="68"/>
      <c r="AW218" s="68"/>
    </row>
    <row r="219" spans="1:49" ht="16.5" thickBot="1">
      <c r="A219" s="28">
        <v>41214</v>
      </c>
      <c r="B219" s="29">
        <f t="shared" si="9"/>
        <v>11</v>
      </c>
      <c r="C219" s="29">
        <f t="shared" si="10"/>
        <v>4</v>
      </c>
      <c r="D219" s="29">
        <f t="shared" si="11"/>
        <v>2012</v>
      </c>
      <c r="E219" s="11">
        <v>92.666335586800002</v>
      </c>
      <c r="F219" s="48">
        <v>8592</v>
      </c>
      <c r="G219" s="48">
        <v>8346</v>
      </c>
      <c r="H219" s="46">
        <v>5538</v>
      </c>
      <c r="I219" s="47">
        <v>1317</v>
      </c>
      <c r="J219" s="16">
        <v>126.56</v>
      </c>
      <c r="K219" s="42">
        <v>207.3</v>
      </c>
      <c r="L219" s="23">
        <v>92.795238095238091</v>
      </c>
      <c r="M219" s="30">
        <v>84.65</v>
      </c>
      <c r="N219" s="30">
        <v>3.8934545454545444</v>
      </c>
      <c r="O219" s="12">
        <v>1212.8638095238098</v>
      </c>
      <c r="P219" s="12">
        <v>1072.5809523809523</v>
      </c>
      <c r="Q219" s="12">
        <v>2941.0147619047616</v>
      </c>
      <c r="R219" s="12">
        <v>1394.5123809523811</v>
      </c>
      <c r="S219" s="34">
        <v>0.17</v>
      </c>
      <c r="T219" s="42">
        <v>102.4</v>
      </c>
      <c r="U219" s="42">
        <v>102.3</v>
      </c>
      <c r="V219" s="42">
        <v>84.7</v>
      </c>
      <c r="W219" s="42">
        <v>105.6</v>
      </c>
      <c r="X219" s="23">
        <f>[1]ישיר!D208/1000</f>
        <v>8895.4249999999993</v>
      </c>
      <c r="Y219" s="23">
        <v>5962.8230000000003</v>
      </c>
      <c r="Z219" s="23">
        <f>[1]עקיף!H208</f>
        <v>1317</v>
      </c>
      <c r="AA219" s="23">
        <f>[1]עקיף!P208</f>
        <v>1504.5</v>
      </c>
      <c r="AB219" s="23">
        <f>[1]עקיף!Q208</f>
        <v>8359.5</v>
      </c>
      <c r="AC219" s="60">
        <f>[2]monthly!AY316</f>
        <v>5.8241986957125014E-2</v>
      </c>
      <c r="AD219" s="60">
        <f>[2]monthly!AZ316</f>
        <v>0.78578242974350598</v>
      </c>
      <c r="AE219" s="60">
        <f>[2]monthly!BA316</f>
        <v>0.73998964210755858</v>
      </c>
      <c r="AF219" s="79">
        <v>8759.5</v>
      </c>
      <c r="AG219" s="79">
        <v>3152.8</v>
      </c>
      <c r="AH219" s="62">
        <v>75672.105498000004</v>
      </c>
      <c r="AI219" s="4">
        <v>309.7</v>
      </c>
      <c r="AJ219" s="69">
        <v>207.2</v>
      </c>
      <c r="AK219" s="68">
        <v>106.3</v>
      </c>
      <c r="AL219" s="74">
        <v>66.087162683719853</v>
      </c>
      <c r="AM219" s="72">
        <v>24312</v>
      </c>
      <c r="AT219" s="67"/>
      <c r="AU219" s="76"/>
      <c r="AV219" s="68"/>
      <c r="AW219" s="68"/>
    </row>
    <row r="220" spans="1:49" ht="16.5" thickBot="1">
      <c r="A220" s="28">
        <v>41244</v>
      </c>
      <c r="B220" s="29">
        <f t="shared" si="9"/>
        <v>12</v>
      </c>
      <c r="C220" s="29">
        <f t="shared" si="10"/>
        <v>4</v>
      </c>
      <c r="D220" s="29">
        <f t="shared" si="11"/>
        <v>2012</v>
      </c>
      <c r="E220" s="11">
        <v>92.842006365100005</v>
      </c>
      <c r="F220" s="48">
        <v>9244</v>
      </c>
      <c r="G220" s="48">
        <v>8139</v>
      </c>
      <c r="H220" s="46">
        <v>5507</v>
      </c>
      <c r="I220" s="47">
        <v>1174.5</v>
      </c>
      <c r="J220" s="16">
        <v>126.68</v>
      </c>
      <c r="K220" s="42">
        <v>212.9</v>
      </c>
      <c r="L220" s="23">
        <v>94.096499999999992</v>
      </c>
      <c r="M220" s="30">
        <v>83.91</v>
      </c>
      <c r="N220" s="30">
        <v>3.7770999999999999</v>
      </c>
      <c r="O220" s="12">
        <v>1215.9640909090906</v>
      </c>
      <c r="P220" s="12">
        <v>1073.471818181818</v>
      </c>
      <c r="Q220" s="12">
        <v>3003.7920000000004</v>
      </c>
      <c r="R220" s="12">
        <v>1422.2854999999997</v>
      </c>
      <c r="S220" s="34">
        <v>0.17</v>
      </c>
      <c r="T220" s="42">
        <v>102.7</v>
      </c>
      <c r="U220" s="42">
        <v>103.2</v>
      </c>
      <c r="V220" s="42">
        <v>86.8</v>
      </c>
      <c r="W220" s="42">
        <v>107.3</v>
      </c>
      <c r="X220" s="23">
        <f>[1]ישיר!D209/1000</f>
        <v>9759.9150000000009</v>
      </c>
      <c r="Y220" s="23">
        <v>6939.3909999999996</v>
      </c>
      <c r="Z220" s="23">
        <f>[1]עקיף!H209</f>
        <v>1174.5</v>
      </c>
      <c r="AA220" s="23">
        <f>[1]עקיף!P209</f>
        <v>1278.5</v>
      </c>
      <c r="AB220" s="23">
        <f>[1]עקיף!Q209</f>
        <v>7960</v>
      </c>
      <c r="AC220" s="60">
        <f>[2]monthly!AY317</f>
        <v>5.7058619493583075E-2</v>
      </c>
      <c r="AD220" s="60">
        <f>[2]monthly!AZ317</f>
        <v>0.78357296224825368</v>
      </c>
      <c r="AE220" s="60">
        <f>[2]monthly!BA317</f>
        <v>0.73886337074987085</v>
      </c>
      <c r="AF220" s="79">
        <v>8867.2000000000007</v>
      </c>
      <c r="AG220" s="79">
        <v>3159.2</v>
      </c>
      <c r="AH220" s="62">
        <v>75905.559229999999</v>
      </c>
      <c r="AI220" s="4">
        <v>315</v>
      </c>
      <c r="AJ220" s="69">
        <v>212.8</v>
      </c>
      <c r="AK220" s="68">
        <v>98.6</v>
      </c>
      <c r="AL220" s="74">
        <v>66.313222494183094</v>
      </c>
      <c r="AM220" s="72">
        <v>23520</v>
      </c>
      <c r="AT220" s="68"/>
      <c r="AU220" s="76"/>
      <c r="AV220" s="68"/>
      <c r="AW220" s="68"/>
    </row>
    <row r="221" spans="1:49" ht="16.5" thickBot="1">
      <c r="A221" s="28">
        <v>41275</v>
      </c>
      <c r="B221" s="29">
        <f t="shared" si="9"/>
        <v>1</v>
      </c>
      <c r="C221" s="29">
        <f t="shared" si="10"/>
        <v>1</v>
      </c>
      <c r="D221" s="29">
        <f t="shared" si="11"/>
        <v>2013</v>
      </c>
      <c r="E221" s="11">
        <v>92.680037907499994</v>
      </c>
      <c r="F221" s="19">
        <v>10515</v>
      </c>
      <c r="G221" s="19">
        <v>10459</v>
      </c>
      <c r="H221" s="46">
        <v>7618</v>
      </c>
      <c r="I221" s="47">
        <v>1681</v>
      </c>
      <c r="J221" s="16">
        <v>123.52</v>
      </c>
      <c r="K221" s="42">
        <v>210</v>
      </c>
      <c r="L221" s="23">
        <v>95.160476190476189</v>
      </c>
      <c r="M221" s="30">
        <v>85.81</v>
      </c>
      <c r="N221" s="30">
        <v>3.7394285714285709</v>
      </c>
      <c r="O221" s="12">
        <v>1203.8918181818183</v>
      </c>
      <c r="P221" s="12">
        <v>1069.2804545454546</v>
      </c>
      <c r="Q221" s="12">
        <v>3125.9138095238095</v>
      </c>
      <c r="R221" s="12">
        <v>1480.3952380952383</v>
      </c>
      <c r="S221" s="34">
        <v>0.17</v>
      </c>
      <c r="T221" s="42">
        <v>102.4</v>
      </c>
      <c r="U221" s="42">
        <v>102.5</v>
      </c>
      <c r="V221" s="42">
        <v>85</v>
      </c>
      <c r="W221" s="42">
        <v>106.8</v>
      </c>
      <c r="X221" s="23">
        <f>[1]ישיר!D210/1000</f>
        <v>11548.093000000001</v>
      </c>
      <c r="Y221" s="23">
        <v>7667.3580000000002</v>
      </c>
      <c r="Z221" s="23">
        <f>[1]עקיף!H210</f>
        <v>1681</v>
      </c>
      <c r="AA221" s="23">
        <f>[1]עקיף!P210</f>
        <v>1515</v>
      </c>
      <c r="AB221" s="23">
        <f>[1]עקיף!Q210</f>
        <v>10814</v>
      </c>
      <c r="AC221" s="60">
        <f>[2]monthly!AY318</f>
        <v>5.6300453868274258E-2</v>
      </c>
      <c r="AD221" s="60">
        <f>[2]monthly!AZ318</f>
        <v>0.7866721177432543</v>
      </c>
      <c r="AE221" s="60">
        <f>[2]monthly!BA318</f>
        <v>0.74240937585173072</v>
      </c>
      <c r="AF221" s="79">
        <v>8719.9</v>
      </c>
      <c r="AG221" s="79">
        <v>3178</v>
      </c>
      <c r="AH221" s="62">
        <v>78413.224090000003</v>
      </c>
      <c r="AI221" s="4">
        <v>319</v>
      </c>
      <c r="AJ221" s="69">
        <v>210</v>
      </c>
      <c r="AK221" s="68">
        <v>70.599999999999994</v>
      </c>
      <c r="AL221" s="74">
        <v>66.518224108639743</v>
      </c>
      <c r="AM221" s="72">
        <v>22632</v>
      </c>
      <c r="AT221" s="68"/>
      <c r="AU221" s="76"/>
      <c r="AV221" s="68"/>
      <c r="AW221" s="68"/>
    </row>
    <row r="222" spans="1:49" ht="16.5" thickBot="1">
      <c r="A222" s="28">
        <v>41306</v>
      </c>
      <c r="B222" s="29">
        <f t="shared" si="9"/>
        <v>2</v>
      </c>
      <c r="C222" s="29">
        <f t="shared" si="10"/>
        <v>1</v>
      </c>
      <c r="D222" s="29">
        <f t="shared" si="11"/>
        <v>2013</v>
      </c>
      <c r="E222" s="11">
        <v>92.680037907499994</v>
      </c>
      <c r="F222" s="19">
        <v>8534</v>
      </c>
      <c r="G222" s="19">
        <v>8079</v>
      </c>
      <c r="H222" s="46">
        <v>5638</v>
      </c>
      <c r="I222" s="47">
        <v>1334</v>
      </c>
      <c r="J222" s="16">
        <v>125.7</v>
      </c>
      <c r="K222" s="42">
        <v>212.9</v>
      </c>
      <c r="L222" s="23">
        <v>100.65473684210525</v>
      </c>
      <c r="M222" s="30">
        <v>86.4</v>
      </c>
      <c r="N222" s="30">
        <v>3.6926842105263149</v>
      </c>
      <c r="O222" s="12">
        <v>1216.7152631578949</v>
      </c>
      <c r="P222" s="12">
        <v>1084.9652631578949</v>
      </c>
      <c r="Q222" s="12">
        <v>3169.2131578947369</v>
      </c>
      <c r="R222" s="12">
        <v>1512.3115789473684</v>
      </c>
      <c r="S222" s="34">
        <v>0.17</v>
      </c>
      <c r="T222" s="42">
        <v>105.8</v>
      </c>
      <c r="U222" s="42">
        <v>106.1</v>
      </c>
      <c r="V222" s="42">
        <v>85.4</v>
      </c>
      <c r="W222" s="42">
        <v>109.4</v>
      </c>
      <c r="X222" s="23">
        <f>[1]ישיר!D211/1000</f>
        <v>8451.4040000000005</v>
      </c>
      <c r="Y222" s="23">
        <v>5611.73</v>
      </c>
      <c r="Z222" s="23">
        <f>[1]עקיף!H211</f>
        <v>1334</v>
      </c>
      <c r="AA222" s="23">
        <f>[1]עקיף!P211</f>
        <v>1118</v>
      </c>
      <c r="AB222" s="23">
        <f>[1]עקיף!Q211</f>
        <v>8090</v>
      </c>
      <c r="AC222" s="60">
        <f>[2]monthly!AY319</f>
        <v>5.8582590438164724E-2</v>
      </c>
      <c r="AD222" s="60">
        <f>[2]monthly!AZ319</f>
        <v>0.79081604877783218</v>
      </c>
      <c r="AE222" s="60">
        <f>[2]monthly!BA319</f>
        <v>0.74451521585279534</v>
      </c>
      <c r="AF222" s="79">
        <v>8853.2000000000007</v>
      </c>
      <c r="AG222" s="79">
        <v>3180.8</v>
      </c>
      <c r="AH222" s="62">
        <v>77275.282412999994</v>
      </c>
      <c r="AI222" s="4">
        <v>319.7</v>
      </c>
      <c r="AJ222" s="69">
        <v>212.9</v>
      </c>
      <c r="AK222" s="68">
        <v>72.8</v>
      </c>
      <c r="AL222" s="74">
        <v>66.957898891095638</v>
      </c>
      <c r="AM222" s="72">
        <v>20736</v>
      </c>
      <c r="AT222" s="68"/>
      <c r="AU222" s="76"/>
      <c r="AV222" s="68"/>
      <c r="AW222" s="68"/>
    </row>
    <row r="223" spans="1:49" ht="16.5" thickBot="1">
      <c r="A223" s="28">
        <v>41334</v>
      </c>
      <c r="B223" s="29">
        <f t="shared" si="9"/>
        <v>3</v>
      </c>
      <c r="C223" s="29">
        <f t="shared" si="10"/>
        <v>1</v>
      </c>
      <c r="D223" s="29">
        <f t="shared" si="11"/>
        <v>2013</v>
      </c>
      <c r="E223" s="11">
        <v>92.864843566299996</v>
      </c>
      <c r="F223" s="19">
        <v>8545</v>
      </c>
      <c r="G223" s="19">
        <v>10167</v>
      </c>
      <c r="H223" s="46">
        <v>7159</v>
      </c>
      <c r="I223" s="47">
        <v>1473</v>
      </c>
      <c r="J223" s="16">
        <v>126.61</v>
      </c>
      <c r="K223" s="42">
        <v>211.1</v>
      </c>
      <c r="L223" s="23">
        <v>105.9365</v>
      </c>
      <c r="M223" s="30">
        <v>87.15</v>
      </c>
      <c r="N223" s="30">
        <v>3.6922222222222221</v>
      </c>
      <c r="O223" s="12">
        <v>1236.5022222222224</v>
      </c>
      <c r="P223" s="12">
        <v>1101.8861111111112</v>
      </c>
      <c r="Q223" s="12">
        <v>3236.1664999999998</v>
      </c>
      <c r="R223" s="12">
        <v>1550.8289999999995</v>
      </c>
      <c r="S223" s="34">
        <v>0.17</v>
      </c>
      <c r="T223" s="42">
        <v>104.4</v>
      </c>
      <c r="U223" s="42">
        <v>105.2</v>
      </c>
      <c r="V223" s="42">
        <v>84.5</v>
      </c>
      <c r="W223" s="42">
        <v>109.3</v>
      </c>
      <c r="X223" s="23">
        <f>[1]ישיר!D212/1000</f>
        <v>8689.9449999999997</v>
      </c>
      <c r="Y223" s="23">
        <v>5890.0309999999999</v>
      </c>
      <c r="Z223" s="23">
        <f>[1]עקיף!H212</f>
        <v>1473</v>
      </c>
      <c r="AA223" s="23">
        <f>[1]עקיף!P212</f>
        <v>1542</v>
      </c>
      <c r="AB223" s="23">
        <f>[1]עקיף!Q212</f>
        <v>10174</v>
      </c>
      <c r="AC223" s="60">
        <f>[2]monthly!AY320</f>
        <v>5.6816618516989957E-2</v>
      </c>
      <c r="AD223" s="60">
        <f>[2]monthly!AZ320</f>
        <v>0.78903663500678423</v>
      </c>
      <c r="AE223" s="60">
        <f>[2]monthly!BA320</f>
        <v>0.74420624151967441</v>
      </c>
      <c r="AF223" s="79">
        <v>8776.2000000000007</v>
      </c>
      <c r="AG223" s="79">
        <v>3171.1</v>
      </c>
      <c r="AH223" s="62">
        <v>76966.790718999997</v>
      </c>
      <c r="AI223" s="4">
        <v>320</v>
      </c>
      <c r="AJ223" s="69">
        <v>211.2</v>
      </c>
      <c r="AK223" s="68">
        <v>71.7</v>
      </c>
      <c r="AL223" s="74">
        <v>67.029945480692376</v>
      </c>
      <c r="AM223" s="72">
        <v>23220</v>
      </c>
      <c r="AT223" s="68"/>
      <c r="AU223" s="76"/>
      <c r="AV223" s="68"/>
      <c r="AW223" s="68"/>
    </row>
    <row r="224" spans="1:49" ht="16.5" thickBot="1">
      <c r="A224" s="28">
        <v>41365</v>
      </c>
      <c r="B224" s="29">
        <f t="shared" si="9"/>
        <v>4</v>
      </c>
      <c r="C224" s="29">
        <f t="shared" si="10"/>
        <v>2</v>
      </c>
      <c r="D224" s="29">
        <f t="shared" si="11"/>
        <v>2013</v>
      </c>
      <c r="E224" s="11">
        <v>93.234454884000002</v>
      </c>
      <c r="F224" s="19">
        <v>9625</v>
      </c>
      <c r="G224" s="19">
        <v>8382</v>
      </c>
      <c r="H224" s="46">
        <v>5445</v>
      </c>
      <c r="I224" s="47">
        <v>1656</v>
      </c>
      <c r="J224" s="16">
        <v>122.41</v>
      </c>
      <c r="K224" s="42">
        <v>212</v>
      </c>
      <c r="L224" s="23">
        <v>107.61090909090909</v>
      </c>
      <c r="M224" s="30">
        <v>88.49</v>
      </c>
      <c r="N224" s="30">
        <v>3.6199499999999993</v>
      </c>
      <c r="O224" s="12">
        <v>1218.0599999999997</v>
      </c>
      <c r="P224" s="12">
        <v>1086.9710526315791</v>
      </c>
      <c r="Q224" s="12">
        <v>3251.3518181818176</v>
      </c>
      <c r="R224" s="12">
        <v>1570.7022727272727</v>
      </c>
      <c r="S224" s="34">
        <v>0.17</v>
      </c>
      <c r="T224" s="42">
        <v>104.3</v>
      </c>
      <c r="U224" s="42">
        <v>105.3</v>
      </c>
      <c r="V224" s="42">
        <v>83.9</v>
      </c>
      <c r="W224" s="42">
        <v>103.7</v>
      </c>
      <c r="X224" s="23">
        <f>[1]ישיר!D213/1000</f>
        <v>9369.8070000000007</v>
      </c>
      <c r="Y224" s="23">
        <v>6099.9650000000001</v>
      </c>
      <c r="Z224" s="23">
        <f>[1]עקיף!H213</f>
        <v>1656</v>
      </c>
      <c r="AA224" s="23">
        <f>[1]עקיף!P213</f>
        <v>1194</v>
      </c>
      <c r="AB224" s="23">
        <f>[1]עקיף!Q213</f>
        <v>8295</v>
      </c>
      <c r="AC224" s="60">
        <f>[2]monthly!AY321</f>
        <v>5.7731747333880236E-2</v>
      </c>
      <c r="AD224" s="60">
        <f>[2]monthly!AZ321</f>
        <v>0.79325397901358419</v>
      </c>
      <c r="AE224" s="60">
        <f>[2]monthly!BA321</f>
        <v>0.74745804072557687</v>
      </c>
      <c r="AF224" s="79">
        <v>8794.6</v>
      </c>
      <c r="AG224" s="79">
        <v>3196.5</v>
      </c>
      <c r="AH224" s="62">
        <v>77146.142105000006</v>
      </c>
      <c r="AI224" s="4">
        <v>319.5</v>
      </c>
      <c r="AJ224" s="69">
        <v>212</v>
      </c>
      <c r="AK224" s="68">
        <v>72.400000000000006</v>
      </c>
      <c r="AL224" s="74">
        <v>67.210859327876634</v>
      </c>
      <c r="AM224" s="72">
        <v>26664</v>
      </c>
      <c r="AT224" s="68"/>
      <c r="AU224" s="76"/>
      <c r="AV224" s="68"/>
      <c r="AW224" s="68"/>
    </row>
    <row r="225" spans="1:49" ht="16.5" thickBot="1">
      <c r="A225" s="28">
        <v>41395</v>
      </c>
      <c r="B225" s="29">
        <f t="shared" si="9"/>
        <v>5</v>
      </c>
      <c r="C225" s="29">
        <f t="shared" si="10"/>
        <v>2</v>
      </c>
      <c r="D225" s="29">
        <f t="shared" si="11"/>
        <v>2013</v>
      </c>
      <c r="E225" s="11">
        <v>93.326857713400003</v>
      </c>
      <c r="F225" s="23">
        <v>11144</v>
      </c>
      <c r="G225" s="49">
        <v>9885</v>
      </c>
      <c r="H225" s="46">
        <v>6844</v>
      </c>
      <c r="I225" s="47">
        <v>1554</v>
      </c>
      <c r="J225" s="16">
        <v>113.77</v>
      </c>
      <c r="K225" s="42">
        <v>218.3</v>
      </c>
      <c r="L225" s="23">
        <v>103.41772727272728</v>
      </c>
      <c r="M225" s="30">
        <v>90.17</v>
      </c>
      <c r="N225" s="30">
        <v>3.6286666666666667</v>
      </c>
      <c r="O225" s="12">
        <v>1217.3235</v>
      </c>
      <c r="P225" s="12">
        <v>1093.1699999999998</v>
      </c>
      <c r="Q225" s="12">
        <v>3440.3754545454549</v>
      </c>
      <c r="R225" s="12">
        <v>1639.8427272727274</v>
      </c>
      <c r="S225" s="34">
        <v>0.17</v>
      </c>
      <c r="T225" s="42">
        <v>106.9</v>
      </c>
      <c r="U225" s="42">
        <v>105.7</v>
      </c>
      <c r="V225" s="42">
        <v>87.7</v>
      </c>
      <c r="W225" s="42">
        <v>112.2</v>
      </c>
      <c r="X225" s="23">
        <f>[1]ישיר!D214/1000</f>
        <v>11584.245000000001</v>
      </c>
      <c r="Y225" s="23">
        <v>6346.95</v>
      </c>
      <c r="Z225" s="23">
        <f>[1]עקיף!H214</f>
        <v>1554</v>
      </c>
      <c r="AA225" s="23">
        <f>[1]עקיף!P214</f>
        <v>1693</v>
      </c>
      <c r="AB225" s="23">
        <f>[1]עקיף!Q214</f>
        <v>10091</v>
      </c>
      <c r="AC225" s="60">
        <f>[2]monthly!AY322</f>
        <v>5.6769916088262713E-2</v>
      </c>
      <c r="AD225" s="60">
        <f>[2]monthly!AZ322</f>
        <v>0.78564839934888775</v>
      </c>
      <c r="AE225" s="60">
        <f>[2]monthly!BA322</f>
        <v>0.74102007596310371</v>
      </c>
      <c r="AF225" s="79">
        <v>8831</v>
      </c>
      <c r="AG225" s="79">
        <v>3201.4</v>
      </c>
      <c r="AH225" s="62">
        <v>77651.094557000004</v>
      </c>
      <c r="AI225" s="4">
        <v>322.60000000000002</v>
      </c>
      <c r="AJ225" s="69">
        <v>218.2</v>
      </c>
      <c r="AK225" s="68">
        <v>71.3</v>
      </c>
      <c r="AL225" s="74">
        <v>67.426924050332744</v>
      </c>
      <c r="AM225" s="72">
        <v>31212</v>
      </c>
      <c r="AT225" s="68"/>
      <c r="AU225" s="76"/>
      <c r="AV225" s="68"/>
      <c r="AW225" s="68"/>
    </row>
    <row r="226" spans="1:49" ht="16.5" thickBot="1">
      <c r="A226" s="28">
        <v>41426</v>
      </c>
      <c r="B226" s="29">
        <f t="shared" si="9"/>
        <v>6</v>
      </c>
      <c r="C226" s="29">
        <f t="shared" si="10"/>
        <v>2</v>
      </c>
      <c r="D226" s="29">
        <f t="shared" si="11"/>
        <v>2013</v>
      </c>
      <c r="E226" s="11">
        <v>94.0660803488</v>
      </c>
      <c r="F226" s="23">
        <v>9813</v>
      </c>
      <c r="G226" s="23">
        <v>9099</v>
      </c>
      <c r="H226" s="46">
        <v>6249</v>
      </c>
      <c r="I226" s="47">
        <v>1487</v>
      </c>
      <c r="J226" s="13">
        <v>118.95</v>
      </c>
      <c r="K226" s="42">
        <v>214.1</v>
      </c>
      <c r="L226" s="23">
        <v>96.522105263157869</v>
      </c>
      <c r="M226" s="30">
        <v>90.13</v>
      </c>
      <c r="N226" s="30">
        <v>3.6299499999999996</v>
      </c>
      <c r="O226" s="12">
        <v>1218.0395238095239</v>
      </c>
      <c r="P226" s="12">
        <v>1094.0109523809526</v>
      </c>
      <c r="Q226" s="12">
        <v>3416.7415000000001</v>
      </c>
      <c r="R226" s="12">
        <v>1618.7725</v>
      </c>
      <c r="S226" s="31">
        <v>0.18</v>
      </c>
      <c r="T226" s="42">
        <v>104.8</v>
      </c>
      <c r="U226" s="42">
        <v>105.1</v>
      </c>
      <c r="V226" s="42">
        <v>84.6</v>
      </c>
      <c r="W226" s="42">
        <v>113.6</v>
      </c>
      <c r="X226" s="23">
        <f>[1]ישיר!D215/1000</f>
        <v>9591.5930000000008</v>
      </c>
      <c r="Y226" s="23">
        <v>5435.2659999999996</v>
      </c>
      <c r="Z226" s="23">
        <f>[1]עקיף!H215</f>
        <v>1487</v>
      </c>
      <c r="AA226" s="23">
        <f>[1]עקיף!P215</f>
        <v>1380</v>
      </c>
      <c r="AB226" s="23">
        <f>[1]עקיף!Q215</f>
        <v>9116</v>
      </c>
      <c r="AC226" s="60">
        <f>[2]monthly!AY323</f>
        <v>5.5162707675408484E-2</v>
      </c>
      <c r="AD226" s="60">
        <f>[2]monthly!AZ323</f>
        <v>0.78784109040755068</v>
      </c>
      <c r="AE226" s="60">
        <f>[2]monthly!BA323</f>
        <v>0.7444086864807854</v>
      </c>
      <c r="AF226" s="79">
        <v>8824.2999999999993</v>
      </c>
      <c r="AG226" s="79">
        <v>3205.4</v>
      </c>
      <c r="AH226" s="62">
        <v>78219.971097999995</v>
      </c>
      <c r="AI226" s="4">
        <v>326.3</v>
      </c>
      <c r="AJ226" s="69">
        <v>214.1</v>
      </c>
      <c r="AK226" s="68">
        <v>72</v>
      </c>
      <c r="AL226" s="74">
        <v>67.528278198232456</v>
      </c>
      <c r="AM226" s="72">
        <v>29028</v>
      </c>
      <c r="AT226" s="68"/>
      <c r="AU226" s="68"/>
      <c r="AV226" s="68"/>
      <c r="AW226" s="68"/>
    </row>
    <row r="227" spans="1:49" ht="16.5" thickBot="1">
      <c r="A227" s="28">
        <v>41456</v>
      </c>
      <c r="B227" s="29">
        <f t="shared" si="9"/>
        <v>7</v>
      </c>
      <c r="C227" s="29">
        <f t="shared" si="10"/>
        <v>3</v>
      </c>
      <c r="D227" s="29">
        <f t="shared" si="11"/>
        <v>2013</v>
      </c>
      <c r="E227" s="11">
        <v>94.343288837000003</v>
      </c>
      <c r="F227" s="23">
        <v>10923</v>
      </c>
      <c r="G227" s="23">
        <v>11721</v>
      </c>
      <c r="H227" s="46">
        <v>8609</v>
      </c>
      <c r="I227" s="47">
        <v>1653</v>
      </c>
      <c r="J227" s="13">
        <v>120.34</v>
      </c>
      <c r="K227" s="42">
        <v>218.9</v>
      </c>
      <c r="L227" s="23">
        <v>95.00545454545454</v>
      </c>
      <c r="M227" s="30">
        <v>90.93</v>
      </c>
      <c r="N227" s="30">
        <v>3.6067727272727268</v>
      </c>
      <c r="O227" s="12">
        <v>1214.369090909091</v>
      </c>
      <c r="P227" s="12">
        <v>1097.3695454545452</v>
      </c>
      <c r="Q227" s="12">
        <v>3559.7109090909084</v>
      </c>
      <c r="R227" s="12">
        <v>1668.6754545454546</v>
      </c>
      <c r="S227" s="34">
        <v>0.18</v>
      </c>
      <c r="T227" s="42">
        <v>105.2</v>
      </c>
      <c r="U227" s="42">
        <v>106.1</v>
      </c>
      <c r="V227" s="42">
        <v>87.8</v>
      </c>
      <c r="W227" s="42">
        <v>111.2</v>
      </c>
      <c r="X227" s="23">
        <f>[1]ישיר!D216/1000</f>
        <v>11292.339</v>
      </c>
      <c r="Y227" s="23">
        <v>6754.9409999999998</v>
      </c>
      <c r="Z227" s="23">
        <f>[1]עקיף!H216</f>
        <v>1653</v>
      </c>
      <c r="AA227" s="23">
        <f>[1]עקיף!P216</f>
        <v>1626</v>
      </c>
      <c r="AB227" s="23">
        <f>[1]עקיף!Q216</f>
        <v>11888</v>
      </c>
      <c r="AC227" s="60">
        <f>[2]monthly!AY324</f>
        <v>5.4518781344887593E-2</v>
      </c>
      <c r="AD227" s="60">
        <f>[2]monthly!AZ324</f>
        <v>0.79026691830682128</v>
      </c>
      <c r="AE227" s="60">
        <f>[2]monthly!BA324</f>
        <v>0.74718252898355353</v>
      </c>
      <c r="AF227" s="79">
        <v>8839.2999999999993</v>
      </c>
      <c r="AG227" s="79">
        <v>3210.6</v>
      </c>
      <c r="AH227" s="62">
        <v>79071.424192999999</v>
      </c>
      <c r="AI227" s="4">
        <v>328.4</v>
      </c>
      <c r="AJ227" s="69">
        <v>218.9</v>
      </c>
      <c r="AK227" s="68">
        <v>72.400000000000006</v>
      </c>
      <c r="AL227" s="74">
        <v>67.692397228579821</v>
      </c>
      <c r="AM227" s="72">
        <v>28128</v>
      </c>
      <c r="AT227" s="68"/>
      <c r="AU227" s="68"/>
      <c r="AV227" s="68"/>
      <c r="AW227" s="68"/>
    </row>
    <row r="228" spans="1:49" ht="16.5" thickBot="1">
      <c r="A228" s="28">
        <v>41487</v>
      </c>
      <c r="B228" s="29">
        <f t="shared" si="9"/>
        <v>8</v>
      </c>
      <c r="C228" s="29">
        <f t="shared" si="10"/>
        <v>3</v>
      </c>
      <c r="D228" s="29">
        <f t="shared" si="11"/>
        <v>2013</v>
      </c>
      <c r="E228" s="11">
        <v>94.528094495900007</v>
      </c>
      <c r="F228" s="36">
        <v>9300</v>
      </c>
      <c r="G228" s="23">
        <v>8750</v>
      </c>
      <c r="H228" s="46">
        <v>5587</v>
      </c>
      <c r="I228" s="47">
        <v>1528</v>
      </c>
      <c r="J228" s="13">
        <v>123.06</v>
      </c>
      <c r="K228" s="42">
        <v>221.5</v>
      </c>
      <c r="L228" s="23">
        <v>100.99363636363638</v>
      </c>
      <c r="M228" s="30">
        <v>92.45</v>
      </c>
      <c r="N228" s="30">
        <v>3.5785909090909089</v>
      </c>
      <c r="O228" s="12">
        <v>1198.7642857142855</v>
      </c>
      <c r="P228" s="12">
        <v>1094.4709523809524</v>
      </c>
      <c r="Q228" s="12">
        <v>3639.9286363636365</v>
      </c>
      <c r="R228" s="12">
        <v>1670.0936363636363</v>
      </c>
      <c r="S228" s="34">
        <v>0.18</v>
      </c>
      <c r="T228" s="42">
        <v>106.3</v>
      </c>
      <c r="U228" s="42">
        <v>108.4</v>
      </c>
      <c r="V228" s="42">
        <v>91.4</v>
      </c>
      <c r="W228" s="42">
        <v>113.8</v>
      </c>
      <c r="X228" s="23">
        <f>[1]ישיר!D217/1000</f>
        <v>9526.7569999999996</v>
      </c>
      <c r="Y228" s="23">
        <v>5811.424</v>
      </c>
      <c r="Z228" s="23">
        <f>[1]עקיף!H217</f>
        <v>1528</v>
      </c>
      <c r="AA228" s="23">
        <f>[1]עקיף!P217</f>
        <v>1365</v>
      </c>
      <c r="AB228" s="23">
        <f>[1]עקיף!Q217</f>
        <v>8480</v>
      </c>
      <c r="AC228" s="60">
        <f>[2]monthly!AY325</f>
        <v>5.24463577969113E-2</v>
      </c>
      <c r="AD228" s="60">
        <f>[2]monthly!AZ325</f>
        <v>0.78711273666092951</v>
      </c>
      <c r="AE228" s="60">
        <f>[2]monthly!BA325</f>
        <v>0.74583154044750433</v>
      </c>
      <c r="AF228" s="79">
        <v>8789.1</v>
      </c>
      <c r="AG228" s="79">
        <v>3219.3</v>
      </c>
      <c r="AH228" s="62">
        <v>78518.577342000004</v>
      </c>
      <c r="AI228" s="4">
        <v>330</v>
      </c>
      <c r="AJ228" s="69">
        <v>221.6</v>
      </c>
      <c r="AK228" s="68">
        <v>68.5</v>
      </c>
      <c r="AL228" s="74">
        <v>67.75602674105599</v>
      </c>
      <c r="AM228" s="72">
        <v>29040</v>
      </c>
      <c r="AT228" s="68"/>
      <c r="AU228" s="68"/>
      <c r="AV228" s="68"/>
      <c r="AW228" s="68"/>
    </row>
    <row r="229" spans="1:49" ht="16.5" thickBot="1">
      <c r="A229" s="28">
        <v>41518</v>
      </c>
      <c r="B229" s="29">
        <f t="shared" si="9"/>
        <v>9</v>
      </c>
      <c r="C229" s="29">
        <f t="shared" si="10"/>
        <v>3</v>
      </c>
      <c r="D229" s="29">
        <f t="shared" si="11"/>
        <v>2013</v>
      </c>
      <c r="E229" s="11">
        <v>94.528094495900007</v>
      </c>
      <c r="F229" s="36">
        <v>9870</v>
      </c>
      <c r="G229" s="23">
        <v>11470</v>
      </c>
      <c r="H229" s="46">
        <v>8506</v>
      </c>
      <c r="I229" s="47">
        <v>1384</v>
      </c>
      <c r="J229" s="13">
        <v>124.39</v>
      </c>
      <c r="K229" s="42">
        <v>218.1</v>
      </c>
      <c r="L229" s="23">
        <v>106.2895</v>
      </c>
      <c r="M229" s="30">
        <v>92.82</v>
      </c>
      <c r="N229" s="30">
        <v>3.5616666666666661</v>
      </c>
      <c r="O229" s="12">
        <v>1219.0574999999999</v>
      </c>
      <c r="P229" s="12">
        <v>1108.7937499999998</v>
      </c>
      <c r="Q229" s="12">
        <v>3731.2619999999997</v>
      </c>
      <c r="R229" s="12">
        <v>1687.1735000000001</v>
      </c>
      <c r="S229" s="34">
        <v>0.18</v>
      </c>
      <c r="T229" s="42">
        <v>105.1</v>
      </c>
      <c r="U229" s="42">
        <v>106.8</v>
      </c>
      <c r="V229" s="42">
        <v>83.1</v>
      </c>
      <c r="W229" s="42">
        <v>114.3</v>
      </c>
      <c r="X229" s="23">
        <f>[1]ישיר!D218/1000</f>
        <v>9604.2000000000007</v>
      </c>
      <c r="Y229" s="23">
        <v>5894.3220000000001</v>
      </c>
      <c r="Z229" s="23">
        <f>[1]עקיף!H218</f>
        <v>1384</v>
      </c>
      <c r="AA229" s="23">
        <f>[1]עקיף!P218</f>
        <v>1574</v>
      </c>
      <c r="AB229" s="23">
        <f>[1]עקיף!Q218</f>
        <v>11464</v>
      </c>
      <c r="AC229" s="60">
        <f>[2]monthly!AY326</f>
        <v>5.0629037742264536E-2</v>
      </c>
      <c r="AD229" s="60">
        <f>[2]monthly!AZ326</f>
        <v>0.78807041989335191</v>
      </c>
      <c r="AE229" s="60">
        <f>[2]monthly!BA326</f>
        <v>0.74817117286100909</v>
      </c>
      <c r="AF229" s="79">
        <v>8885.7000000000007</v>
      </c>
      <c r="AG229" s="79">
        <v>3197.8</v>
      </c>
      <c r="AH229" s="63">
        <v>79901.869412999993</v>
      </c>
      <c r="AI229" s="4">
        <v>328.5</v>
      </c>
      <c r="AJ229" s="69">
        <v>218.1</v>
      </c>
      <c r="AK229" s="68">
        <v>70.8</v>
      </c>
      <c r="AL229" s="74">
        <v>67.893939726703167</v>
      </c>
      <c r="AM229" s="72">
        <v>27420</v>
      </c>
      <c r="AT229" s="68"/>
      <c r="AU229" s="68"/>
      <c r="AV229" s="68"/>
      <c r="AW229" s="68"/>
    </row>
    <row r="230" spans="1:49" ht="16.5" thickBot="1">
      <c r="A230" s="28">
        <v>41548</v>
      </c>
      <c r="B230" s="29">
        <f t="shared" si="9"/>
        <v>10</v>
      </c>
      <c r="C230" s="29">
        <f t="shared" si="10"/>
        <v>4</v>
      </c>
      <c r="D230" s="29">
        <f t="shared" si="11"/>
        <v>2013</v>
      </c>
      <c r="E230" s="11">
        <v>94.805302984099995</v>
      </c>
      <c r="F230" s="36">
        <v>9269</v>
      </c>
      <c r="G230" s="23">
        <v>7825</v>
      </c>
      <c r="H230" s="46">
        <v>5055</v>
      </c>
      <c r="I230" s="47">
        <v>1398</v>
      </c>
      <c r="J230" s="13">
        <v>126.02</v>
      </c>
      <c r="K230" s="42">
        <v>223.4</v>
      </c>
      <c r="L230" s="23">
        <v>100.53826086956522</v>
      </c>
      <c r="M230" s="30">
        <v>92.47</v>
      </c>
      <c r="N230" s="30">
        <v>3.5374347826086958</v>
      </c>
      <c r="O230" s="12">
        <v>1288.7921739130436</v>
      </c>
      <c r="P230" s="12">
        <v>1164.248260869565</v>
      </c>
      <c r="Q230" s="12">
        <v>3848.202608695653</v>
      </c>
      <c r="R230" s="12">
        <v>1720.0265217391304</v>
      </c>
      <c r="S230" s="34">
        <v>0.18</v>
      </c>
      <c r="T230" s="42">
        <v>105.5</v>
      </c>
      <c r="U230" s="42">
        <v>107.3</v>
      </c>
      <c r="V230" s="42">
        <v>90.1</v>
      </c>
      <c r="W230" s="42">
        <v>113.2</v>
      </c>
      <c r="X230" s="23">
        <f>[1]ישיר!D219/1000</f>
        <v>9526.5360000000001</v>
      </c>
      <c r="Y230" s="23">
        <v>6070.7889999999998</v>
      </c>
      <c r="Z230" s="23">
        <f>[1]עקיף!H219</f>
        <v>1398</v>
      </c>
      <c r="AA230" s="23">
        <f>[1]עקיף!P219</f>
        <v>1323</v>
      </c>
      <c r="AB230" s="23">
        <f>[1]עקיף!Q219</f>
        <v>7776</v>
      </c>
      <c r="AC230" s="60">
        <f>[2]monthly!AY327</f>
        <v>4.9617151607963247E-2</v>
      </c>
      <c r="AD230" s="60">
        <f>[2]monthly!AZ327</f>
        <v>0.78921924099589069</v>
      </c>
      <c r="AE230" s="60">
        <f>[2]monthly!BA327</f>
        <v>0.75006043026347591</v>
      </c>
      <c r="AF230" s="79">
        <v>8808.5</v>
      </c>
      <c r="AG230" s="79">
        <v>3239</v>
      </c>
      <c r="AH230" s="63">
        <v>80570.638569999996</v>
      </c>
      <c r="AI230" s="4">
        <v>329.9</v>
      </c>
      <c r="AJ230" s="69">
        <v>223.4</v>
      </c>
      <c r="AK230" s="68">
        <v>71.7</v>
      </c>
      <c r="AL230" s="74">
        <v>68.142318024787826</v>
      </c>
      <c r="AM230" s="72">
        <v>25548</v>
      </c>
      <c r="AT230" s="68"/>
      <c r="AU230" s="68"/>
      <c r="AV230" s="68"/>
      <c r="AW230" s="68"/>
    </row>
    <row r="231" spans="1:49" ht="16.5" thickBot="1">
      <c r="A231" s="28">
        <v>41579</v>
      </c>
      <c r="B231" s="29">
        <f t="shared" si="9"/>
        <v>11</v>
      </c>
      <c r="C231" s="29">
        <f t="shared" si="10"/>
        <v>4</v>
      </c>
      <c r="D231" s="29">
        <f t="shared" si="11"/>
        <v>2013</v>
      </c>
      <c r="E231" s="11">
        <v>94.435691666500006</v>
      </c>
      <c r="F231" s="36">
        <v>10571</v>
      </c>
      <c r="G231" s="36">
        <v>10391</v>
      </c>
      <c r="H231" s="46">
        <v>7703</v>
      </c>
      <c r="I231" s="47">
        <v>1220</v>
      </c>
      <c r="J231" s="13">
        <v>123.93</v>
      </c>
      <c r="K231" s="42">
        <v>221.4</v>
      </c>
      <c r="L231" s="23">
        <v>93.863999999999976</v>
      </c>
      <c r="M231" s="30">
        <v>92.34</v>
      </c>
      <c r="N231" s="30">
        <v>3.5365714285714285</v>
      </c>
      <c r="O231" s="12">
        <v>1325.5605</v>
      </c>
      <c r="P231" s="12">
        <v>1197.8679999999999</v>
      </c>
      <c r="Q231" s="12">
        <v>3957.5330000000004</v>
      </c>
      <c r="R231" s="12">
        <v>1783.5409999999997</v>
      </c>
      <c r="S231" s="34">
        <v>0.18</v>
      </c>
      <c r="T231" s="42">
        <v>106.6</v>
      </c>
      <c r="U231" s="42">
        <v>107.7</v>
      </c>
      <c r="V231" s="42">
        <v>85.3</v>
      </c>
      <c r="W231" s="42">
        <v>112.7</v>
      </c>
      <c r="X231" s="23">
        <f>[1]ישיר!D220/1000</f>
        <v>10684.757</v>
      </c>
      <c r="Y231" s="23">
        <v>5947.9459999999999</v>
      </c>
      <c r="Z231" s="23">
        <f>[1]עקיף!H220</f>
        <v>1220</v>
      </c>
      <c r="AA231" s="23">
        <f>[1]עקיף!P220</f>
        <v>1528</v>
      </c>
      <c r="AB231" s="23">
        <f>[1]עקיף!Q220</f>
        <v>10451</v>
      </c>
      <c r="AC231" s="60">
        <f>[2]monthly!AY328</f>
        <v>5.1643351894608176E-2</v>
      </c>
      <c r="AD231" s="60">
        <f>[2]monthly!AZ328</f>
        <v>0.78841417710675654</v>
      </c>
      <c r="AE231" s="60">
        <f>[2]monthly!BA328</f>
        <v>0.74772459578113282</v>
      </c>
      <c r="AF231" s="79">
        <v>8779.7999999999993</v>
      </c>
      <c r="AG231" s="79">
        <v>3227.9</v>
      </c>
      <c r="AH231" s="63">
        <v>80589.436541999996</v>
      </c>
      <c r="AI231" s="4">
        <v>334.9</v>
      </c>
      <c r="AJ231" s="69">
        <v>221.4</v>
      </c>
      <c r="AK231" s="68">
        <v>72.900000000000006</v>
      </c>
      <c r="AL231" s="74">
        <v>68.27616708144599</v>
      </c>
      <c r="AM231" s="72">
        <v>25836</v>
      </c>
      <c r="AT231" s="68"/>
      <c r="AU231" s="68"/>
      <c r="AV231" s="68"/>
      <c r="AW231" s="68"/>
    </row>
    <row r="232" spans="1:49" ht="16.5" thickBot="1">
      <c r="A232" s="28">
        <v>41609</v>
      </c>
      <c r="B232" s="29">
        <f t="shared" si="9"/>
        <v>12</v>
      </c>
      <c r="C232" s="29">
        <f t="shared" si="10"/>
        <v>4</v>
      </c>
      <c r="D232" s="29">
        <f t="shared" si="11"/>
        <v>2013</v>
      </c>
      <c r="E232" s="11">
        <v>94.528094495900007</v>
      </c>
      <c r="F232" s="36">
        <v>12058</v>
      </c>
      <c r="G232" s="49">
        <v>8247</v>
      </c>
      <c r="H232" s="46">
        <v>5243</v>
      </c>
      <c r="I232" s="47">
        <v>1314</v>
      </c>
      <c r="J232" s="13">
        <v>120.8</v>
      </c>
      <c r="K232" s="42">
        <v>220.2</v>
      </c>
      <c r="L232" s="23">
        <v>97.625238095238103</v>
      </c>
      <c r="M232" s="30">
        <v>92.71</v>
      </c>
      <c r="N232" s="30">
        <v>3.5050476190476196</v>
      </c>
      <c r="O232" s="12">
        <v>1342.8173913043479</v>
      </c>
      <c r="P232" s="12">
        <v>1207.8078260869563</v>
      </c>
      <c r="Q232" s="12">
        <v>4075.8857142857137</v>
      </c>
      <c r="R232" s="12">
        <v>1807.7752380952381</v>
      </c>
      <c r="S232" s="34">
        <v>0.18</v>
      </c>
      <c r="T232" s="42">
        <v>104</v>
      </c>
      <c r="U232" s="42">
        <v>107.1</v>
      </c>
      <c r="V232" s="42">
        <v>86.6</v>
      </c>
      <c r="W232" s="42">
        <v>110.5</v>
      </c>
      <c r="X232" s="23">
        <f>[1]ישיר!D221/1000</f>
        <v>11903.36</v>
      </c>
      <c r="Y232" s="23">
        <v>6525.4690000000001</v>
      </c>
      <c r="Z232" s="23">
        <f>[1]עקיף!H221</f>
        <v>1314</v>
      </c>
      <c r="AA232" s="23">
        <f>[1]עקיף!P221</f>
        <v>1279</v>
      </c>
      <c r="AB232" s="23">
        <f>[1]עקיף!Q221</f>
        <v>7836</v>
      </c>
      <c r="AC232" s="60">
        <f>[2]monthly!AY329</f>
        <v>5.0791601549228779E-2</v>
      </c>
      <c r="AD232" s="60">
        <f>[2]monthly!AZ329</f>
        <v>0.78501133484464602</v>
      </c>
      <c r="AE232" s="60">
        <f>[2]monthly!BA329</f>
        <v>0.7451660221362848</v>
      </c>
      <c r="AF232" s="79">
        <v>8826.1</v>
      </c>
      <c r="AG232" s="79">
        <v>3234.1</v>
      </c>
      <c r="AH232" s="64">
        <v>81789.757836000004</v>
      </c>
      <c r="AI232" s="4">
        <v>338.1</v>
      </c>
      <c r="AJ232" s="69">
        <v>220.1</v>
      </c>
      <c r="AK232" s="68">
        <v>73</v>
      </c>
      <c r="AL232" s="74">
        <v>68.346315868725469</v>
      </c>
      <c r="AM232" s="72">
        <v>24180</v>
      </c>
      <c r="AT232" s="68"/>
      <c r="AU232" s="68"/>
      <c r="AV232" s="68"/>
      <c r="AW232" s="68"/>
    </row>
    <row r="233" spans="1:49" ht="16.5" thickBot="1">
      <c r="A233" s="28">
        <v>41640</v>
      </c>
      <c r="B233" s="29">
        <f t="shared" si="9"/>
        <v>1</v>
      </c>
      <c r="C233" s="29">
        <f t="shared" si="10"/>
        <v>1</v>
      </c>
      <c r="D233" s="29">
        <f t="shared" si="11"/>
        <v>2014</v>
      </c>
      <c r="E233" s="11">
        <v>93.973677519399999</v>
      </c>
      <c r="F233" s="23">
        <v>12273</v>
      </c>
      <c r="G233" s="23">
        <v>12065</v>
      </c>
      <c r="H233" s="46">
        <v>9205</v>
      </c>
      <c r="I233" s="47">
        <v>1655</v>
      </c>
      <c r="J233" s="13">
        <v>121.5</v>
      </c>
      <c r="K233" s="42">
        <v>227.3</v>
      </c>
      <c r="L233" s="23">
        <v>94.617142857142852</v>
      </c>
      <c r="M233" s="30">
        <v>93.22</v>
      </c>
      <c r="N233" s="30">
        <v>3.4933636363636364</v>
      </c>
      <c r="O233" s="12">
        <v>1326.8063636363636</v>
      </c>
      <c r="P233" s="12">
        <v>1219.6963636363635</v>
      </c>
      <c r="Q233" s="12">
        <v>4154.3619047619059</v>
      </c>
      <c r="R233" s="12">
        <v>1822.3566666666666</v>
      </c>
      <c r="S233" s="34">
        <v>0.18</v>
      </c>
      <c r="T233" s="42">
        <v>107.8</v>
      </c>
      <c r="U233" s="42">
        <v>109.9</v>
      </c>
      <c r="V233" s="42">
        <v>86.4</v>
      </c>
      <c r="W233" s="42">
        <v>113</v>
      </c>
      <c r="X233" s="23">
        <f>[1]ישיר!D222/1000</f>
        <v>13257.733</v>
      </c>
      <c r="Y233" s="23">
        <v>7450.9260000000004</v>
      </c>
      <c r="Z233" s="23">
        <f>[1]עקיף!H222</f>
        <v>1655</v>
      </c>
      <c r="AA233" s="23">
        <f>[1]עקיף!P222</f>
        <v>1714</v>
      </c>
      <c r="AB233" s="23">
        <f>[1]עקיף!Q222</f>
        <v>12574</v>
      </c>
      <c r="AC233" s="60">
        <f>[2]monthly!AY330</f>
        <v>5.3006143207224146E-2</v>
      </c>
      <c r="AD233" s="60">
        <f>[2]monthly!AZ330</f>
        <v>0.79424625393270409</v>
      </c>
      <c r="AE233" s="60">
        <f>[2]monthly!BA330</f>
        <v>0.7521729856556284</v>
      </c>
      <c r="AF233" s="79">
        <v>8791.7999999999993</v>
      </c>
      <c r="AG233" s="79">
        <v>3267.6</v>
      </c>
      <c r="AH233" s="64">
        <v>83164.679132000005</v>
      </c>
      <c r="AI233" s="4">
        <v>341.5</v>
      </c>
      <c r="AJ233" s="69">
        <v>227.2</v>
      </c>
      <c r="AK233" s="68">
        <v>73.2</v>
      </c>
      <c r="AL233" s="74">
        <v>68.795407361672872</v>
      </c>
      <c r="AM233" s="72">
        <v>28608</v>
      </c>
      <c r="AT233" s="68"/>
      <c r="AU233" s="68"/>
      <c r="AV233" s="68"/>
      <c r="AW233" s="68"/>
    </row>
    <row r="234" spans="1:49" ht="16.5" thickBot="1">
      <c r="A234" s="28">
        <v>41671</v>
      </c>
      <c r="B234" s="29">
        <f t="shared" si="9"/>
        <v>2</v>
      </c>
      <c r="C234" s="29">
        <f t="shared" si="10"/>
        <v>1</v>
      </c>
      <c r="D234" s="29">
        <f t="shared" si="11"/>
        <v>2014</v>
      </c>
      <c r="E234" s="11">
        <v>93.788871860499995</v>
      </c>
      <c r="F234" s="23">
        <v>10393</v>
      </c>
      <c r="G234" s="23">
        <v>8884</v>
      </c>
      <c r="H234" s="46">
        <v>5973</v>
      </c>
      <c r="I234" s="47">
        <v>1528</v>
      </c>
      <c r="J234" s="13">
        <v>121.1</v>
      </c>
      <c r="K234" s="42">
        <v>226.8</v>
      </c>
      <c r="L234" s="23">
        <v>100.81736842105265</v>
      </c>
      <c r="M234" s="30">
        <v>93.58</v>
      </c>
      <c r="N234" s="30">
        <v>3.5185500000000003</v>
      </c>
      <c r="O234" s="12">
        <v>1317.3595</v>
      </c>
      <c r="P234" s="12">
        <v>1218.3059999999998</v>
      </c>
      <c r="Q234" s="12">
        <v>4199.4510526315789</v>
      </c>
      <c r="R234" s="12">
        <v>1817.0347368421051</v>
      </c>
      <c r="S234" s="34">
        <v>0.18</v>
      </c>
      <c r="T234" s="42">
        <v>109.1</v>
      </c>
      <c r="U234" s="42">
        <v>109.4</v>
      </c>
      <c r="V234" s="42">
        <v>85.8</v>
      </c>
      <c r="W234" s="42">
        <v>112.6</v>
      </c>
      <c r="X234" s="23">
        <f>[1]ישיר!D223/1000</f>
        <v>10067.83</v>
      </c>
      <c r="Y234" s="23">
        <v>5869.2740000000003</v>
      </c>
      <c r="Z234" s="23">
        <f>[1]עקיף!H223</f>
        <v>1528</v>
      </c>
      <c r="AA234" s="23">
        <f>[1]עקיף!P223</f>
        <v>1127</v>
      </c>
      <c r="AB234" s="23">
        <f>[1]עקיף!Q223</f>
        <v>8628</v>
      </c>
      <c r="AC234" s="60">
        <f>[2]monthly!AY331</f>
        <v>4.9475061214906246E-2</v>
      </c>
      <c r="AD234" s="60">
        <f>[2]monthly!AZ331</f>
        <v>0.79752287197046712</v>
      </c>
      <c r="AE234" s="60">
        <f>[2]monthly!BA331</f>
        <v>0.75809212990209196</v>
      </c>
      <c r="AF234" s="79">
        <v>8857.9</v>
      </c>
      <c r="AG234" s="79">
        <v>3268.9</v>
      </c>
      <c r="AH234" s="64">
        <v>83975.258694000004</v>
      </c>
      <c r="AI234" s="4">
        <v>343.6</v>
      </c>
      <c r="AJ234" s="69">
        <v>226.7</v>
      </c>
      <c r="AK234" s="68">
        <v>76</v>
      </c>
      <c r="AL234" s="74">
        <v>69.173078885896118</v>
      </c>
      <c r="AM234" s="72">
        <v>23784</v>
      </c>
      <c r="AT234" s="68"/>
      <c r="AU234" s="68"/>
      <c r="AV234" s="68"/>
      <c r="AW234" s="68"/>
    </row>
    <row r="235" spans="1:49" ht="16.5" thickBot="1">
      <c r="A235" s="28">
        <v>41699</v>
      </c>
      <c r="B235" s="29">
        <f t="shared" si="9"/>
        <v>3</v>
      </c>
      <c r="C235" s="29">
        <f t="shared" si="10"/>
        <v>1</v>
      </c>
      <c r="D235" s="29">
        <f t="shared" si="11"/>
        <v>2014</v>
      </c>
      <c r="E235" s="11">
        <v>94.0660803488</v>
      </c>
      <c r="F235" s="23">
        <v>10183</v>
      </c>
      <c r="G235" s="23">
        <v>11060</v>
      </c>
      <c r="H235" s="46">
        <v>7883</v>
      </c>
      <c r="I235" s="47">
        <v>1547</v>
      </c>
      <c r="J235" s="13">
        <v>126.24</v>
      </c>
      <c r="K235" s="42">
        <v>224.9</v>
      </c>
      <c r="L235" s="23">
        <v>100.80380952380953</v>
      </c>
      <c r="M235" s="30">
        <v>92.41</v>
      </c>
      <c r="N235" s="30">
        <v>3.4798999999999998</v>
      </c>
      <c r="O235" s="12">
        <v>1378.1519047619047</v>
      </c>
      <c r="P235" s="12">
        <v>1273.445238095238</v>
      </c>
      <c r="Q235" s="12">
        <v>4276.3590476190484</v>
      </c>
      <c r="R235" s="12">
        <v>1864.1623809523808</v>
      </c>
      <c r="S235" s="34">
        <v>0.18</v>
      </c>
      <c r="T235" s="42">
        <v>106.6</v>
      </c>
      <c r="U235" s="42">
        <v>107.4</v>
      </c>
      <c r="V235" s="42">
        <v>86.5</v>
      </c>
      <c r="W235" s="42">
        <v>111.4</v>
      </c>
      <c r="X235" s="23">
        <f>[1]ישיר!D224/1000</f>
        <v>10355.374</v>
      </c>
      <c r="Y235" s="23">
        <v>6409.0730000000003</v>
      </c>
      <c r="Z235" s="23">
        <f>[1]עקיף!H224</f>
        <v>1547</v>
      </c>
      <c r="AA235" s="23">
        <f>[1]עקיף!P224</f>
        <v>1528</v>
      </c>
      <c r="AB235" s="23">
        <f>[1]עקיף!Q224</f>
        <v>10958</v>
      </c>
      <c r="AC235" s="60">
        <f>[2]monthly!AY332</f>
        <v>5.0090343304557312E-2</v>
      </c>
      <c r="AD235" s="60">
        <f>[2]monthly!AZ332</f>
        <v>0.79770452422260774</v>
      </c>
      <c r="AE235" s="60">
        <f>[2]monthly!BA332</f>
        <v>0.75774723074869876</v>
      </c>
      <c r="AF235" s="79">
        <v>8814.6</v>
      </c>
      <c r="AG235" s="79">
        <v>3276.5</v>
      </c>
      <c r="AH235" s="64">
        <v>85569.853701</v>
      </c>
      <c r="AI235" s="4">
        <v>346.6</v>
      </c>
      <c r="AJ235" s="69">
        <v>224.8</v>
      </c>
      <c r="AK235" s="68">
        <v>71.099999999999994</v>
      </c>
      <c r="AL235" s="74">
        <v>69.366522631174561</v>
      </c>
      <c r="AM235" s="72">
        <v>24972</v>
      </c>
      <c r="AT235" s="68"/>
      <c r="AU235" s="68"/>
      <c r="AV235" s="68"/>
      <c r="AW235" s="68"/>
    </row>
    <row r="236" spans="1:49" ht="16.5" thickBot="1">
      <c r="A236" s="28">
        <v>41730</v>
      </c>
      <c r="B236" s="29">
        <f t="shared" si="9"/>
        <v>4</v>
      </c>
      <c r="C236" s="29">
        <f t="shared" si="10"/>
        <v>2</v>
      </c>
      <c r="D236" s="29">
        <f t="shared" si="11"/>
        <v>2014</v>
      </c>
      <c r="E236" s="11">
        <v>94.158483178200001</v>
      </c>
      <c r="F236" s="23">
        <v>10896</v>
      </c>
      <c r="G236" s="23">
        <v>8716</v>
      </c>
      <c r="H236" s="46">
        <v>6141</v>
      </c>
      <c r="I236" s="44">
        <v>1512</v>
      </c>
      <c r="J236" s="13">
        <v>126.56</v>
      </c>
      <c r="K236" s="42">
        <v>226.1</v>
      </c>
      <c r="L236" s="23">
        <v>102.06904761904761</v>
      </c>
      <c r="M236" s="30">
        <v>93</v>
      </c>
      <c r="N236" s="30">
        <v>3.4757777777777776</v>
      </c>
      <c r="O236" s="12">
        <v>1401.5227777777779</v>
      </c>
      <c r="P236" s="12">
        <v>1277.5111111111109</v>
      </c>
      <c r="Q236" s="12">
        <v>4119.3061904761898</v>
      </c>
      <c r="R236" s="12">
        <v>1864.2633333333333</v>
      </c>
      <c r="S236" s="34">
        <v>0.18</v>
      </c>
      <c r="T236" s="42">
        <v>107.6</v>
      </c>
      <c r="U236" s="42">
        <v>107.9</v>
      </c>
      <c r="V236" s="42">
        <v>88.9</v>
      </c>
      <c r="W236" s="42">
        <v>106.8</v>
      </c>
      <c r="X236" s="23">
        <f>[1]ישיר!D225/1000</f>
        <v>10914.127</v>
      </c>
      <c r="Y236" s="23">
        <v>6979.8410000000003</v>
      </c>
      <c r="Z236" s="23">
        <f>[1]עקיף!H225</f>
        <v>1512</v>
      </c>
      <c r="AA236" s="23">
        <f>[1]עקיף!P225</f>
        <v>1288</v>
      </c>
      <c r="AB236" s="23">
        <f>[1]עקיף!Q225</f>
        <v>8941</v>
      </c>
      <c r="AC236" s="60">
        <f>[2]monthly!AY333</f>
        <v>5.1992371775569611E-2</v>
      </c>
      <c r="AD236" s="60">
        <f>[2]monthly!AZ333</f>
        <v>0.79568203599190712</v>
      </c>
      <c r="AE236" s="60">
        <f>[2]monthly!BA333</f>
        <v>0.75431263976147378</v>
      </c>
      <c r="AF236" s="79">
        <v>8857.7000000000007</v>
      </c>
      <c r="AG236" s="79">
        <v>3283.8</v>
      </c>
      <c r="AH236" s="64">
        <v>86480.065638999993</v>
      </c>
      <c r="AI236" s="4">
        <v>348.1</v>
      </c>
      <c r="AJ236" s="69">
        <v>226</v>
      </c>
      <c r="AK236" s="68">
        <v>69.7</v>
      </c>
      <c r="AL236" s="74">
        <v>69.432950402784158</v>
      </c>
      <c r="AM236" s="72">
        <v>19332</v>
      </c>
      <c r="AT236" s="68"/>
      <c r="AU236" s="68"/>
      <c r="AV236" s="68"/>
      <c r="AW236" s="68"/>
    </row>
    <row r="237" spans="1:49" ht="16.5" thickBot="1">
      <c r="A237" s="28">
        <v>41760</v>
      </c>
      <c r="B237" s="29">
        <f t="shared" si="9"/>
        <v>5</v>
      </c>
      <c r="C237" s="29">
        <f t="shared" si="10"/>
        <v>2</v>
      </c>
      <c r="D237" s="29">
        <f t="shared" si="11"/>
        <v>2014</v>
      </c>
      <c r="E237" s="11">
        <v>94.250886007600002</v>
      </c>
      <c r="F237" s="23">
        <v>10406</v>
      </c>
      <c r="G237" s="23">
        <v>11479</v>
      </c>
      <c r="H237" s="46">
        <v>8028</v>
      </c>
      <c r="I237" s="44">
        <v>1701</v>
      </c>
      <c r="J237" s="13">
        <v>127.49</v>
      </c>
      <c r="K237" s="42">
        <v>226.6</v>
      </c>
      <c r="L237" s="23">
        <v>102.17714285714285</v>
      </c>
      <c r="M237" s="30">
        <v>92.67</v>
      </c>
      <c r="N237" s="30">
        <v>3.4653499999999999</v>
      </c>
      <c r="O237" s="12">
        <v>1385.5247368421053</v>
      </c>
      <c r="P237" s="12">
        <v>1251.1326315789477</v>
      </c>
      <c r="Q237" s="12">
        <v>4135.3742857142852</v>
      </c>
      <c r="R237" s="12">
        <v>1889.7671428571425</v>
      </c>
      <c r="S237" s="34">
        <v>0.18</v>
      </c>
      <c r="T237" s="42">
        <v>107.4</v>
      </c>
      <c r="U237" s="42">
        <v>108.8</v>
      </c>
      <c r="V237" s="42">
        <v>86.6</v>
      </c>
      <c r="W237" s="42">
        <v>111.7</v>
      </c>
      <c r="X237" s="23">
        <f>[1]ישיר!D226/1000</f>
        <v>10636.698</v>
      </c>
      <c r="Y237" s="23">
        <v>6724.0659999999998</v>
      </c>
      <c r="Z237" s="23">
        <f>[1]עקיף!H226</f>
        <v>1701</v>
      </c>
      <c r="AA237" s="23">
        <f>[1]עקיף!P226</f>
        <v>1598</v>
      </c>
      <c r="AB237" s="23">
        <f>[1]עקיף!Q226</f>
        <v>11327</v>
      </c>
      <c r="AC237" s="60">
        <f>[2]monthly!AY334</f>
        <v>5.1953656674302025E-2</v>
      </c>
      <c r="AD237" s="60">
        <f>[2]monthly!AZ334</f>
        <v>0.79766444232602485</v>
      </c>
      <c r="AE237" s="60">
        <f>[2]monthly!BA334</f>
        <v>0.75622285774811993</v>
      </c>
      <c r="AF237" s="79">
        <v>8878.7999999999993</v>
      </c>
      <c r="AG237" s="79">
        <v>3281</v>
      </c>
      <c r="AH237" s="64">
        <v>86478.468311000004</v>
      </c>
      <c r="AI237" s="4">
        <v>347.6</v>
      </c>
      <c r="AJ237" s="69">
        <v>226.5</v>
      </c>
      <c r="AK237" s="68">
        <v>71.7</v>
      </c>
      <c r="AL237" s="74">
        <v>69.522191437111175</v>
      </c>
      <c r="AM237" s="72">
        <v>19200</v>
      </c>
      <c r="AT237" s="68"/>
      <c r="AU237" s="68"/>
      <c r="AV237" s="68"/>
      <c r="AW237" s="68"/>
    </row>
    <row r="238" spans="1:49" ht="16.5" thickBot="1">
      <c r="A238" s="28">
        <v>41791</v>
      </c>
      <c r="B238" s="29">
        <f t="shared" si="9"/>
        <v>6</v>
      </c>
      <c r="C238" s="29">
        <f t="shared" si="10"/>
        <v>2</v>
      </c>
      <c r="D238" s="29">
        <f t="shared" si="11"/>
        <v>2014</v>
      </c>
      <c r="E238" s="11">
        <v>94.528094495900007</v>
      </c>
      <c r="F238" s="23">
        <v>9026</v>
      </c>
      <c r="G238" s="23">
        <v>8824</v>
      </c>
      <c r="H238" s="46">
        <v>5921</v>
      </c>
      <c r="I238" s="47">
        <v>1532</v>
      </c>
      <c r="J238" s="13">
        <v>123.25</v>
      </c>
      <c r="K238" s="42">
        <v>232.5</v>
      </c>
      <c r="L238" s="23">
        <v>105.79428571428573</v>
      </c>
      <c r="M238" s="30">
        <v>92.76</v>
      </c>
      <c r="N238" s="30">
        <v>3.4535500000000008</v>
      </c>
      <c r="O238" s="12">
        <v>1398.9444999999998</v>
      </c>
      <c r="P238" s="12">
        <v>1260.2860000000001</v>
      </c>
      <c r="Q238" s="12">
        <v>4332.7376190476189</v>
      </c>
      <c r="R238" s="12">
        <v>1947.0876190476192</v>
      </c>
      <c r="S238" s="34">
        <v>0.18</v>
      </c>
      <c r="T238" s="42">
        <v>107.8</v>
      </c>
      <c r="U238" s="42">
        <v>108.8</v>
      </c>
      <c r="V238" s="42">
        <v>88.5</v>
      </c>
      <c r="W238" s="42">
        <v>110.6</v>
      </c>
      <c r="X238" s="23">
        <f>[1]ישיר!D227/1000</f>
        <v>8844.4009999999998</v>
      </c>
      <c r="Y238" s="23">
        <v>5575.22</v>
      </c>
      <c r="Z238" s="23">
        <f>[1]עקיף!H227</f>
        <v>1532</v>
      </c>
      <c r="AA238" s="23">
        <f>[1]עקיף!P227</f>
        <v>1382</v>
      </c>
      <c r="AB238" s="23">
        <f>[1]עקיף!Q227</f>
        <v>8835</v>
      </c>
      <c r="AC238" s="60">
        <f>[2]monthly!AY335</f>
        <v>4.9903197810267703E-2</v>
      </c>
      <c r="AD238" s="60">
        <f>[2]monthly!AZ335</f>
        <v>0.79295923769190058</v>
      </c>
      <c r="AE238" s="60">
        <f>[2]monthly!BA335</f>
        <v>0.753414505029116</v>
      </c>
      <c r="AF238" s="79">
        <v>8931.1</v>
      </c>
      <c r="AG238" s="79">
        <v>3291.5</v>
      </c>
      <c r="AH238" s="64">
        <v>86812.954641999997</v>
      </c>
      <c r="AI238" s="4">
        <v>347.8</v>
      </c>
      <c r="AJ238" s="69">
        <v>232.5</v>
      </c>
      <c r="AK238" s="68">
        <v>71.599999999999994</v>
      </c>
      <c r="AL238" s="74">
        <v>69.681188522769801</v>
      </c>
      <c r="AM238" s="72">
        <v>20580</v>
      </c>
      <c r="AT238" s="68"/>
      <c r="AU238" s="68"/>
      <c r="AV238" s="68"/>
      <c r="AW238" s="68"/>
    </row>
    <row r="239" spans="1:49" ht="16.5" thickBot="1">
      <c r="A239" s="28">
        <v>41821</v>
      </c>
      <c r="B239" s="29">
        <f t="shared" si="9"/>
        <v>7</v>
      </c>
      <c r="C239" s="29">
        <f t="shared" si="10"/>
        <v>3</v>
      </c>
      <c r="D239" s="29">
        <f t="shared" si="11"/>
        <v>2014</v>
      </c>
      <c r="E239" s="11">
        <v>94.620497325299993</v>
      </c>
      <c r="F239" s="23">
        <v>11220</v>
      </c>
      <c r="G239" s="23">
        <v>10557</v>
      </c>
      <c r="H239" s="46">
        <v>7681</v>
      </c>
      <c r="I239" s="47">
        <v>1635</v>
      </c>
      <c r="J239" s="13">
        <v>130.38999999999999</v>
      </c>
      <c r="K239" s="42">
        <v>220.2</v>
      </c>
      <c r="L239" s="23">
        <v>103.58863636363635</v>
      </c>
      <c r="M239" s="30">
        <v>93.57</v>
      </c>
      <c r="N239" s="30">
        <v>3.4215217391304349</v>
      </c>
      <c r="O239" s="12">
        <v>1390.4969565217393</v>
      </c>
      <c r="P239" s="12">
        <v>1251.4947826086955</v>
      </c>
      <c r="Q239" s="12">
        <v>4434.1259090909089</v>
      </c>
      <c r="R239" s="12">
        <v>1973.0999999999995</v>
      </c>
      <c r="S239" s="34">
        <v>0.18</v>
      </c>
      <c r="T239" s="42">
        <v>105</v>
      </c>
      <c r="U239" s="42">
        <v>105.6</v>
      </c>
      <c r="V239" s="42">
        <v>87.4</v>
      </c>
      <c r="W239" s="42">
        <v>102.9</v>
      </c>
      <c r="X239" s="23">
        <f>[1]ישיר!D228/1000</f>
        <v>11763.402</v>
      </c>
      <c r="Y239" s="23">
        <v>7208.2830000000004</v>
      </c>
      <c r="Z239" s="23">
        <f>[1]עקיף!H228</f>
        <v>1635</v>
      </c>
      <c r="AA239" s="23">
        <f>[1]עקיף!P228</f>
        <v>1583</v>
      </c>
      <c r="AB239" s="23">
        <f>[1]עקיף!Q228</f>
        <v>10899</v>
      </c>
      <c r="AC239" s="60">
        <f>[2]monthly!AY336</f>
        <v>5.0541636206552797E-2</v>
      </c>
      <c r="AD239" s="60">
        <f>[2]monthly!AZ336</f>
        <v>0.79347166925936674</v>
      </c>
      <c r="AE239" s="60">
        <f>[2]monthly!BA336</f>
        <v>0.75334194637065943</v>
      </c>
      <c r="AF239" s="79">
        <v>8967.9</v>
      </c>
      <c r="AG239" s="79">
        <v>3281.5</v>
      </c>
      <c r="AH239" s="64">
        <v>87139.236653999993</v>
      </c>
      <c r="AI239" s="4">
        <v>345.4</v>
      </c>
      <c r="AJ239" s="69">
        <v>220.2</v>
      </c>
      <c r="AK239" s="68">
        <v>71.400000000000006</v>
      </c>
      <c r="AL239" s="74">
        <v>69.593926767595477</v>
      </c>
      <c r="AM239" s="72">
        <v>21108</v>
      </c>
      <c r="AT239" s="68"/>
      <c r="AU239" s="68"/>
      <c r="AV239" s="68"/>
      <c r="AW239" s="68"/>
    </row>
    <row r="240" spans="1:49" ht="16.5" thickBot="1">
      <c r="A240" s="28">
        <v>41852</v>
      </c>
      <c r="B240" s="29">
        <f t="shared" si="9"/>
        <v>8</v>
      </c>
      <c r="C240" s="29">
        <f t="shared" si="10"/>
        <v>3</v>
      </c>
      <c r="D240" s="29">
        <f t="shared" si="11"/>
        <v>2014</v>
      </c>
      <c r="E240" s="11">
        <v>94.528094495900007</v>
      </c>
      <c r="F240" s="23">
        <v>11124</v>
      </c>
      <c r="G240" s="23">
        <v>9758</v>
      </c>
      <c r="H240" s="46">
        <v>6158</v>
      </c>
      <c r="I240" s="47">
        <v>1754</v>
      </c>
      <c r="J240" s="13">
        <v>135.58000000000001</v>
      </c>
      <c r="K240" s="42">
        <v>229.9</v>
      </c>
      <c r="L240" s="23">
        <v>96.53619047619047</v>
      </c>
      <c r="M240" s="30">
        <v>94.64</v>
      </c>
      <c r="N240" s="30">
        <v>3.5</v>
      </c>
      <c r="O240" s="12">
        <v>1387.6545000000001</v>
      </c>
      <c r="P240" s="12">
        <v>1243.373</v>
      </c>
      <c r="Q240" s="12">
        <v>4464.8314285714287</v>
      </c>
      <c r="R240" s="12">
        <v>1961.5319047619046</v>
      </c>
      <c r="S240" s="34">
        <v>0.18</v>
      </c>
      <c r="T240" s="42">
        <v>106.6</v>
      </c>
      <c r="U240" s="42">
        <v>105.9</v>
      </c>
      <c r="V240" s="42">
        <v>86.6</v>
      </c>
      <c r="W240" s="42">
        <v>106.9</v>
      </c>
      <c r="X240" s="23">
        <f>[1]ישיר!D229/1000</f>
        <v>10935.450999999999</v>
      </c>
      <c r="Y240" s="23">
        <v>6339.9269999999997</v>
      </c>
      <c r="Z240" s="23">
        <f>[1]עקיף!H229</f>
        <v>1754</v>
      </c>
      <c r="AA240" s="23">
        <f>[1]עקיף!P229</f>
        <v>1413</v>
      </c>
      <c r="AB240" s="23">
        <f>[1]עקיף!Q229</f>
        <v>9325</v>
      </c>
      <c r="AC240" s="60">
        <f>[2]monthly!AY337</f>
        <v>5.1175056749899861E-2</v>
      </c>
      <c r="AD240" s="60">
        <f>[2]monthly!AZ337</f>
        <v>0.79183738204118315</v>
      </c>
      <c r="AE240" s="60">
        <f>[2]monthly!BA337</f>
        <v>0.75134149242684578</v>
      </c>
      <c r="AF240" s="79">
        <v>8965</v>
      </c>
      <c r="AG240" s="79">
        <v>3281.1</v>
      </c>
      <c r="AH240" s="64">
        <v>87627.532380999997</v>
      </c>
      <c r="AI240" s="4">
        <v>345.2</v>
      </c>
      <c r="AJ240" s="69">
        <v>229.9</v>
      </c>
      <c r="AK240" s="68">
        <v>73.5</v>
      </c>
      <c r="AL240" s="74">
        <v>69.770795559553889</v>
      </c>
      <c r="AM240" s="72">
        <v>22824</v>
      </c>
      <c r="AT240" s="68"/>
      <c r="AU240" s="68"/>
      <c r="AV240" s="68"/>
      <c r="AW240" s="68"/>
    </row>
    <row r="241" spans="1:49" ht="16.5" thickBot="1">
      <c r="A241" s="28">
        <v>41883</v>
      </c>
      <c r="B241" s="29">
        <f t="shared" si="9"/>
        <v>9</v>
      </c>
      <c r="C241" s="29">
        <f t="shared" si="10"/>
        <v>3</v>
      </c>
      <c r="D241" s="29">
        <f t="shared" si="11"/>
        <v>2014</v>
      </c>
      <c r="E241" s="11">
        <v>94.250886007600002</v>
      </c>
      <c r="F241" s="23">
        <v>9471</v>
      </c>
      <c r="G241" s="23">
        <v>11379</v>
      </c>
      <c r="H241" s="46">
        <v>8174</v>
      </c>
      <c r="I241" s="44">
        <v>1547</v>
      </c>
      <c r="J241" s="13">
        <v>128.57</v>
      </c>
      <c r="K241" s="42">
        <v>237.3</v>
      </c>
      <c r="L241" s="23">
        <v>93.211904761904748</v>
      </c>
      <c r="M241" s="30">
        <v>93.24</v>
      </c>
      <c r="N241" s="30">
        <v>3.6271578947368419</v>
      </c>
      <c r="O241" s="12">
        <v>1435.2114999999999</v>
      </c>
      <c r="P241" s="12">
        <v>1291.9750000000001</v>
      </c>
      <c r="Q241" s="12">
        <v>4551.5857142857149</v>
      </c>
      <c r="R241" s="12">
        <v>1993.2261904761908</v>
      </c>
      <c r="S241" s="34">
        <v>0.18</v>
      </c>
      <c r="T241" s="42">
        <v>112.2</v>
      </c>
      <c r="U241" s="42">
        <v>111.6</v>
      </c>
      <c r="V241" s="42">
        <v>89</v>
      </c>
      <c r="W241" s="42">
        <v>108.1</v>
      </c>
      <c r="X241" s="23">
        <f>[1]ישיר!D230/1000</f>
        <v>9494.9009999999998</v>
      </c>
      <c r="Y241" s="23">
        <v>6371.1270000000004</v>
      </c>
      <c r="Z241" s="23">
        <f>[1]עקיף!H230</f>
        <v>1547</v>
      </c>
      <c r="AA241" s="23">
        <f>[1]עקיף!P230</f>
        <v>1582</v>
      </c>
      <c r="AB241" s="23">
        <f>[1]עקיף!Q230</f>
        <v>11303</v>
      </c>
      <c r="AC241" s="60">
        <f>[2]monthly!AY338</f>
        <v>5.0931924648659428E-2</v>
      </c>
      <c r="AD241" s="60">
        <f>[2]monthly!AZ338</f>
        <v>0.79622771281942761</v>
      </c>
      <c r="AE241" s="60">
        <f>[2]monthly!BA338</f>
        <v>0.75570075657372626</v>
      </c>
      <c r="AF241" s="79">
        <v>8941.7999999999993</v>
      </c>
      <c r="AG241" s="79">
        <v>3334.7</v>
      </c>
      <c r="AH241" s="64">
        <v>86187.823210999995</v>
      </c>
      <c r="AI241" s="4">
        <v>347.9</v>
      </c>
      <c r="AJ241" s="69">
        <v>237.3</v>
      </c>
      <c r="AK241" s="68">
        <v>75.8</v>
      </c>
      <c r="AL241" s="74">
        <v>70.441467612488253</v>
      </c>
      <c r="AM241" s="72">
        <v>30648</v>
      </c>
      <c r="AT241" s="68"/>
      <c r="AU241" s="68"/>
      <c r="AV241" s="68"/>
      <c r="AW241" s="68"/>
    </row>
    <row r="242" spans="1:49" ht="16.5" thickBot="1">
      <c r="A242" s="28">
        <v>41913</v>
      </c>
      <c r="B242" s="29">
        <f t="shared" si="9"/>
        <v>10</v>
      </c>
      <c r="C242" s="29">
        <f t="shared" si="10"/>
        <v>4</v>
      </c>
      <c r="D242" s="29">
        <f t="shared" si="11"/>
        <v>2014</v>
      </c>
      <c r="E242" s="11">
        <v>94.528094495900007</v>
      </c>
      <c r="F242" s="23">
        <v>10077</v>
      </c>
      <c r="G242" s="23">
        <v>9360</v>
      </c>
      <c r="H242" s="46">
        <v>6460</v>
      </c>
      <c r="I242" s="47">
        <v>1655</v>
      </c>
      <c r="J242" s="13">
        <v>126.16</v>
      </c>
      <c r="K242" s="42">
        <v>239.7</v>
      </c>
      <c r="L242" s="23">
        <v>84.396956521739114</v>
      </c>
      <c r="M242" s="30">
        <v>90.57</v>
      </c>
      <c r="N242" s="30">
        <v>3.7359500000000003</v>
      </c>
      <c r="O242" s="12">
        <v>1444.2611111111112</v>
      </c>
      <c r="P242" s="12">
        <v>1291.8405555555555</v>
      </c>
      <c r="Q242" s="12">
        <v>4403.2304347826084</v>
      </c>
      <c r="R242" s="12">
        <v>1937.2743478260873</v>
      </c>
      <c r="S242" s="34">
        <v>0.18</v>
      </c>
      <c r="T242" s="42">
        <v>109.3</v>
      </c>
      <c r="U242" s="42">
        <v>110.1</v>
      </c>
      <c r="V242" s="42">
        <v>91</v>
      </c>
      <c r="W242" s="42">
        <v>110.3</v>
      </c>
      <c r="X242" s="23">
        <f>[1]ישיר!D231/1000</f>
        <v>10479.441000000001</v>
      </c>
      <c r="Y242" s="23">
        <v>6423.9579999999996</v>
      </c>
      <c r="Z242" s="23">
        <f>[1]עקיף!H231</f>
        <v>1655</v>
      </c>
      <c r="AA242" s="23">
        <f>[1]עקיף!P231</f>
        <v>1320</v>
      </c>
      <c r="AB242" s="23">
        <f>[1]עקיף!Q231</f>
        <v>9435</v>
      </c>
      <c r="AC242" s="60">
        <f>[2]monthly!AY339</f>
        <v>4.7104117843990621E-2</v>
      </c>
      <c r="AD242" s="60">
        <f>[2]monthly!AZ339</f>
        <v>0.78868851160457309</v>
      </c>
      <c r="AE242" s="60">
        <f>[2]monthly!BA339</f>
        <v>0.75153803501174976</v>
      </c>
      <c r="AF242" s="79">
        <v>8974.4219531013296</v>
      </c>
      <c r="AG242" s="79">
        <v>3301.2</v>
      </c>
      <c r="AH242" s="64">
        <v>86416.100409000006</v>
      </c>
      <c r="AI242" s="4">
        <v>349.3</v>
      </c>
      <c r="AJ242" s="69">
        <v>239.6</v>
      </c>
      <c r="AK242" s="68">
        <v>75.3</v>
      </c>
      <c r="AL242" s="74">
        <v>70.842370577453764</v>
      </c>
      <c r="AM242" s="72">
        <v>35904</v>
      </c>
      <c r="AT242" s="68"/>
      <c r="AU242" s="68"/>
      <c r="AV242" s="68"/>
      <c r="AW242" s="68"/>
    </row>
    <row r="243" spans="1:49" ht="16.5" thickBot="1">
      <c r="A243" s="28">
        <v>41944</v>
      </c>
      <c r="B243" s="29">
        <f t="shared" si="9"/>
        <v>11</v>
      </c>
      <c r="C243" s="29">
        <f t="shared" si="10"/>
        <v>4</v>
      </c>
      <c r="D243" s="29">
        <f t="shared" si="11"/>
        <v>2014</v>
      </c>
      <c r="E243" s="11">
        <v>94.343288837000003</v>
      </c>
      <c r="F243" s="23">
        <v>9842</v>
      </c>
      <c r="G243" s="23">
        <v>10836</v>
      </c>
      <c r="H243" s="46">
        <v>7581</v>
      </c>
      <c r="I243" s="47">
        <v>1380</v>
      </c>
      <c r="J243" s="13">
        <v>121.13</v>
      </c>
      <c r="K243" s="42">
        <v>236.1</v>
      </c>
      <c r="L243" s="23">
        <v>75.954374999999999</v>
      </c>
      <c r="M243" s="30">
        <v>89.49</v>
      </c>
      <c r="N243" s="30">
        <v>3.8289999999999993</v>
      </c>
      <c r="O243" s="12">
        <v>1450.8528571428569</v>
      </c>
      <c r="P243" s="12">
        <v>1294.195238095238</v>
      </c>
      <c r="Q243" s="12">
        <v>4687.7026315789481</v>
      </c>
      <c r="R243" s="12">
        <v>2044.5721052631579</v>
      </c>
      <c r="S243" s="34">
        <v>0.18</v>
      </c>
      <c r="T243" s="42">
        <v>110.4</v>
      </c>
      <c r="U243" s="42">
        <v>109</v>
      </c>
      <c r="V243" s="42">
        <v>89.4</v>
      </c>
      <c r="W243" s="42">
        <v>113.8</v>
      </c>
      <c r="X243" s="23">
        <f>[1]ישיר!D232/1000</f>
        <v>9758.2109999999993</v>
      </c>
      <c r="Y243" s="23">
        <v>6147.4970000000003</v>
      </c>
      <c r="Z243" s="23">
        <f>[1]עקיף!H232</f>
        <v>1380</v>
      </c>
      <c r="AA243" s="23">
        <f>[1]עקיף!P232</f>
        <v>1685</v>
      </c>
      <c r="AB243" s="23">
        <f>[1]עקיף!Q232</f>
        <v>10646</v>
      </c>
      <c r="AC243" s="60">
        <f>[2]monthly!AY340</f>
        <v>4.8359354326541412E-2</v>
      </c>
      <c r="AD243" s="60">
        <f>[2]monthly!AZ340</f>
        <v>0.79738355224982849</v>
      </c>
      <c r="AE243" s="60">
        <f>[2]monthly!BA340</f>
        <v>0.75882259851242284</v>
      </c>
      <c r="AF243" s="79">
        <v>8946.792934697176</v>
      </c>
      <c r="AG243" s="79">
        <v>3320.9</v>
      </c>
      <c r="AH243" s="64">
        <v>86327.581676999995</v>
      </c>
      <c r="AI243" s="4">
        <v>350.3</v>
      </c>
      <c r="AJ243" s="69">
        <v>236.1</v>
      </c>
      <c r="AK243" s="68">
        <v>74.400000000000006</v>
      </c>
      <c r="AL243" s="74">
        <v>71.146363005073624</v>
      </c>
      <c r="AM243" s="72">
        <v>31332</v>
      </c>
      <c r="AT243" s="68"/>
      <c r="AU243" s="68"/>
      <c r="AV243" s="68"/>
      <c r="AW243" s="68"/>
    </row>
    <row r="244" spans="1:49" ht="16.5" thickBot="1">
      <c r="A244" s="28">
        <v>41974</v>
      </c>
      <c r="B244" s="29">
        <f t="shared" si="9"/>
        <v>12</v>
      </c>
      <c r="C244" s="29">
        <f t="shared" si="10"/>
        <v>4</v>
      </c>
      <c r="D244" s="29">
        <f t="shared" si="11"/>
        <v>2014</v>
      </c>
      <c r="E244" s="11">
        <v>94.343288837000003</v>
      </c>
      <c r="F244" s="36">
        <v>10211</v>
      </c>
      <c r="G244" s="23">
        <v>10560</v>
      </c>
      <c r="H244" s="46">
        <v>6500</v>
      </c>
      <c r="I244" s="47">
        <v>2806</v>
      </c>
      <c r="J244" s="13">
        <v>121.21</v>
      </c>
      <c r="K244" s="42">
        <v>238.6</v>
      </c>
      <c r="L244" s="23">
        <v>59.290454545454551</v>
      </c>
      <c r="M244" s="30">
        <v>88.18</v>
      </c>
      <c r="N244" s="30">
        <v>3.9346666666666668</v>
      </c>
      <c r="O244" s="12">
        <v>1474.5382608695647</v>
      </c>
      <c r="P244" s="12">
        <v>1304.8934782608696</v>
      </c>
      <c r="Q244" s="12">
        <v>4732.7009090909087</v>
      </c>
      <c r="R244" s="12">
        <v>2054.2663636363636</v>
      </c>
      <c r="S244" s="34">
        <v>0.18</v>
      </c>
      <c r="T244" s="42">
        <v>109.7</v>
      </c>
      <c r="U244" s="42">
        <v>110.1</v>
      </c>
      <c r="V244" s="42">
        <v>88.7</v>
      </c>
      <c r="W244" s="42">
        <v>115.2</v>
      </c>
      <c r="X244" s="23">
        <f>[1]ישיר!D233/1000</f>
        <v>9712.0110000000004</v>
      </c>
      <c r="Y244" s="23">
        <v>6007.2939999999999</v>
      </c>
      <c r="Z244" s="23">
        <f>[1]עקיף!H233</f>
        <v>2806</v>
      </c>
      <c r="AA244" s="23">
        <f>[1]עקיף!P233</f>
        <v>1214</v>
      </c>
      <c r="AB244" s="23">
        <f>[1]עקיף!Q233</f>
        <v>10520</v>
      </c>
      <c r="AC244" s="60">
        <f>[2]monthly!AY341</f>
        <v>4.9778980009236654E-2</v>
      </c>
      <c r="AD244" s="60">
        <f>[2]monthly!AZ341</f>
        <v>0.79777883046476128</v>
      </c>
      <c r="AE244" s="60">
        <f>[2]monthly!BA341</f>
        <v>0.75806621401126373</v>
      </c>
      <c r="AF244" s="79">
        <v>9003.543505201942</v>
      </c>
      <c r="AG244" s="79">
        <v>3334.9</v>
      </c>
      <c r="AH244" s="64">
        <v>86101.167862000002</v>
      </c>
      <c r="AI244" s="4">
        <v>352.5</v>
      </c>
      <c r="AJ244" s="69">
        <v>238.5</v>
      </c>
      <c r="AK244" s="68">
        <v>73.400000000000006</v>
      </c>
      <c r="AL244" s="74">
        <v>71.387508303071314</v>
      </c>
      <c r="AM244" s="72">
        <v>34872</v>
      </c>
      <c r="AT244" s="68"/>
      <c r="AU244" s="68"/>
      <c r="AV244" s="68"/>
      <c r="AW244" s="68"/>
    </row>
    <row r="245" spans="1:49" ht="16.5" thickBot="1">
      <c r="A245" s="28">
        <v>42005</v>
      </c>
      <c r="B245" s="29">
        <f t="shared" si="9"/>
        <v>1</v>
      </c>
      <c r="C245" s="29">
        <f t="shared" si="10"/>
        <v>1</v>
      </c>
      <c r="D245" s="29">
        <f t="shared" si="11"/>
        <v>2015</v>
      </c>
      <c r="E245" s="11">
        <v>93.496878919599993</v>
      </c>
      <c r="F245" s="23">
        <v>13242</v>
      </c>
      <c r="G245" s="23">
        <v>11594</v>
      </c>
      <c r="H245" s="46">
        <v>9098</v>
      </c>
      <c r="I245" s="47">
        <v>1318</v>
      </c>
      <c r="J245" s="13">
        <v>124.6</v>
      </c>
      <c r="K245" s="42">
        <v>239</v>
      </c>
      <c r="L245" s="23">
        <v>47.219000000000001</v>
      </c>
      <c r="M245" s="30">
        <v>87.25</v>
      </c>
      <c r="N245" s="30">
        <v>3.9463809523809528</v>
      </c>
      <c r="O245" s="12">
        <v>1460.8738095238095</v>
      </c>
      <c r="P245" s="12">
        <v>1280.7571428571432</v>
      </c>
      <c r="Q245" s="12">
        <v>4673.7015000000001</v>
      </c>
      <c r="R245" s="12">
        <v>2028.1785</v>
      </c>
      <c r="S245" s="34">
        <v>0.18</v>
      </c>
      <c r="T245" s="42">
        <v>110.4</v>
      </c>
      <c r="U245" s="42">
        <v>110.1</v>
      </c>
      <c r="V245" s="42">
        <v>91.2</v>
      </c>
      <c r="W245" s="42">
        <v>111</v>
      </c>
      <c r="X245" s="23">
        <f>[1]ישיר!D234/1000</f>
        <v>14303.75</v>
      </c>
      <c r="Y245" s="23">
        <v>8880.6569999999992</v>
      </c>
      <c r="Z245" s="23">
        <f>[1]עקיף!H234</f>
        <v>1318</v>
      </c>
      <c r="AA245" s="23">
        <f>[1]עקיף!P234</f>
        <v>1620</v>
      </c>
      <c r="AB245" s="23">
        <f>[1]עקיף!Q234</f>
        <v>12036</v>
      </c>
      <c r="AC245" s="60">
        <f>[2]monthly!AY342</f>
        <v>4.9064421717254753E-2</v>
      </c>
      <c r="AD245" s="60">
        <f>[2]monthly!AZ342</f>
        <v>0.79734123446431382</v>
      </c>
      <c r="AE245" s="60">
        <f>[2]monthly!BA342</f>
        <v>0.75822014788400016</v>
      </c>
      <c r="AF245" s="79">
        <v>8952.8805203415013</v>
      </c>
      <c r="AG245" s="79">
        <v>3337.9</v>
      </c>
      <c r="AH245" s="64">
        <v>84664.956556000005</v>
      </c>
      <c r="AI245" s="4">
        <v>354.8</v>
      </c>
      <c r="AJ245" s="69">
        <v>239</v>
      </c>
      <c r="AK245" s="68">
        <v>74.2</v>
      </c>
      <c r="AL245" s="74">
        <v>71.652880125653112</v>
      </c>
      <c r="AM245" s="72">
        <v>37272</v>
      </c>
      <c r="AT245" s="68"/>
      <c r="AU245" s="68"/>
      <c r="AV245" s="68"/>
      <c r="AW245" s="68"/>
    </row>
    <row r="246" spans="1:49" ht="16.5" thickBot="1">
      <c r="A246" s="28">
        <v>42036</v>
      </c>
      <c r="B246" s="29">
        <f t="shared" si="9"/>
        <v>2</v>
      </c>
      <c r="C246" s="29">
        <f t="shared" si="10"/>
        <v>1</v>
      </c>
      <c r="D246" s="29">
        <f t="shared" si="11"/>
        <v>2015</v>
      </c>
      <c r="E246" s="11">
        <v>92.837122717499994</v>
      </c>
      <c r="F246" s="23">
        <v>10803</v>
      </c>
      <c r="G246" s="23">
        <v>8781</v>
      </c>
      <c r="H246" s="46">
        <v>6033</v>
      </c>
      <c r="I246" s="44">
        <v>1346</v>
      </c>
      <c r="J246" s="13">
        <v>131.87</v>
      </c>
      <c r="K246" s="42">
        <v>239.7</v>
      </c>
      <c r="L246" s="23">
        <v>50.688000000000002</v>
      </c>
      <c r="M246" s="30">
        <v>88.42</v>
      </c>
      <c r="N246" s="30">
        <v>3.8928499999999993</v>
      </c>
      <c r="O246" s="12">
        <v>1473.1334999999999</v>
      </c>
      <c r="P246" s="12">
        <v>1298.471</v>
      </c>
      <c r="Q246" s="12">
        <v>4854.2557894736847</v>
      </c>
      <c r="R246" s="12">
        <v>2082.1957894736843</v>
      </c>
      <c r="S246" s="34">
        <v>0.18</v>
      </c>
      <c r="T246" s="42">
        <v>112.1</v>
      </c>
      <c r="U246" s="42">
        <v>108.5</v>
      </c>
      <c r="V246" s="42">
        <v>90.6</v>
      </c>
      <c r="W246" s="42">
        <v>111.7</v>
      </c>
      <c r="X246" s="23">
        <f>[1]ישיר!D235/1000</f>
        <v>10601.891</v>
      </c>
      <c r="Y246" s="23">
        <v>6679.8130000000001</v>
      </c>
      <c r="Z246" s="23">
        <f>[1]עקיף!H235</f>
        <v>1346</v>
      </c>
      <c r="AA246" s="23">
        <f>[1]עקיף!P235</f>
        <v>1182</v>
      </c>
      <c r="AB246" s="23">
        <f>[1]עקיף!Q235</f>
        <v>8561</v>
      </c>
      <c r="AC246" s="60">
        <f>[2]monthly!AY343</f>
        <v>4.6627672581871053E-2</v>
      </c>
      <c r="AD246" s="60">
        <f>[2]monthly!AZ343</f>
        <v>0.79456478928712093</v>
      </c>
      <c r="AE246" s="60">
        <f>[2]monthly!BA343</f>
        <v>0.75751608244715762</v>
      </c>
      <c r="AF246" s="79">
        <v>9093.4421883117466</v>
      </c>
      <c r="AG246" s="79">
        <v>3340.7</v>
      </c>
      <c r="AH246" s="64">
        <v>85319.615143999996</v>
      </c>
      <c r="AI246" s="4">
        <v>358.3</v>
      </c>
      <c r="AJ246" s="69">
        <v>239.6</v>
      </c>
      <c r="AK246" s="68">
        <v>75</v>
      </c>
      <c r="AL246" s="74">
        <v>71.990550933796683</v>
      </c>
      <c r="AM246" s="72">
        <v>42144</v>
      </c>
      <c r="AT246" s="68"/>
      <c r="AU246" s="68"/>
      <c r="AV246" s="68"/>
      <c r="AW246" s="68"/>
    </row>
    <row r="247" spans="1:49" ht="16.5" thickBot="1">
      <c r="A247" s="28">
        <v>42064</v>
      </c>
      <c r="B247" s="29">
        <f t="shared" si="9"/>
        <v>3</v>
      </c>
      <c r="C247" s="29">
        <f t="shared" si="10"/>
        <v>1</v>
      </c>
      <c r="D247" s="29">
        <f t="shared" si="11"/>
        <v>2015</v>
      </c>
      <c r="E247" s="11">
        <v>93.119875375500001</v>
      </c>
      <c r="F247" s="23">
        <v>11335</v>
      </c>
      <c r="G247" s="23">
        <v>11881</v>
      </c>
      <c r="H247" s="46">
        <v>8506</v>
      </c>
      <c r="I247" s="47">
        <v>1878</v>
      </c>
      <c r="J247" s="13">
        <v>130.1</v>
      </c>
      <c r="K247" s="42">
        <v>244.8</v>
      </c>
      <c r="L247" s="23">
        <v>47.409090909090907</v>
      </c>
      <c r="M247" s="30">
        <v>89.44</v>
      </c>
      <c r="N247" s="30">
        <v>3.9978421052631581</v>
      </c>
      <c r="O247" s="12">
        <v>1576.2995238095239</v>
      </c>
      <c r="P247" s="12">
        <v>1386.2890476190473</v>
      </c>
      <c r="Q247" s="12">
        <v>4938.0104545454551</v>
      </c>
      <c r="R247" s="12">
        <v>2079.9886363636365</v>
      </c>
      <c r="S247" s="34">
        <v>0.18</v>
      </c>
      <c r="T247" s="42">
        <v>111.8</v>
      </c>
      <c r="U247" s="42">
        <v>109.5</v>
      </c>
      <c r="V247" s="42">
        <v>90.7</v>
      </c>
      <c r="W247" s="42">
        <v>113</v>
      </c>
      <c r="X247" s="23">
        <f>[1]ישיר!D236/1000</f>
        <v>11524.526</v>
      </c>
      <c r="Y247" s="23">
        <v>7064.4440000000004</v>
      </c>
      <c r="Z247" s="23">
        <f>[1]עקיף!H236</f>
        <v>1878</v>
      </c>
      <c r="AA247" s="23">
        <f>[1]עקיף!P236</f>
        <v>1584</v>
      </c>
      <c r="AB247" s="23">
        <f>[1]עקיף!Q236</f>
        <v>11968</v>
      </c>
      <c r="AC247" s="60">
        <f>[2]monthly!AY344</f>
        <v>4.6112653708845701E-2</v>
      </c>
      <c r="AD247" s="60">
        <f>[2]monthly!AZ344</f>
        <v>0.7985639996832351</v>
      </c>
      <c r="AE247" s="60">
        <f>[2]monthly!BA344</f>
        <v>0.76174009450149138</v>
      </c>
      <c r="AF247" s="79">
        <v>9096.3131173606071</v>
      </c>
      <c r="AG247" s="79">
        <v>3366.9</v>
      </c>
      <c r="AH247" s="64">
        <v>84983.182545999996</v>
      </c>
      <c r="AI247" s="4">
        <v>360.6</v>
      </c>
      <c r="AJ247" s="69">
        <v>244.8</v>
      </c>
      <c r="AK247" s="68">
        <v>73.5</v>
      </c>
      <c r="AL247" s="74">
        <v>72.129418400114702</v>
      </c>
      <c r="AM247" s="72">
        <v>33480</v>
      </c>
      <c r="AT247" s="68"/>
      <c r="AU247" s="68"/>
      <c r="AV247" s="68"/>
      <c r="AW247" s="68"/>
    </row>
    <row r="248" spans="1:49" ht="16.5" thickBot="1">
      <c r="A248" s="28">
        <v>42095</v>
      </c>
      <c r="B248" s="29">
        <f t="shared" si="9"/>
        <v>4</v>
      </c>
      <c r="C248" s="29">
        <f t="shared" si="10"/>
        <v>2</v>
      </c>
      <c r="D248" s="29">
        <f t="shared" si="11"/>
        <v>2015</v>
      </c>
      <c r="E248" s="11">
        <v>93.685380691600002</v>
      </c>
      <c r="F248" s="23">
        <v>11581</v>
      </c>
      <c r="G248" s="23">
        <v>9556</v>
      </c>
      <c r="H248" s="46">
        <v>6389</v>
      </c>
      <c r="I248" s="47">
        <v>1390</v>
      </c>
      <c r="J248" s="13">
        <v>131.9</v>
      </c>
      <c r="K248" s="42">
        <v>243.3</v>
      </c>
      <c r="L248" s="23">
        <v>54.452857142857134</v>
      </c>
      <c r="M248" s="30">
        <v>88.63</v>
      </c>
      <c r="N248" s="30">
        <v>3.9384444444444449</v>
      </c>
      <c r="O248" s="12">
        <v>1665.6694736842103</v>
      </c>
      <c r="P248" s="12">
        <v>1455.2889473684211</v>
      </c>
      <c r="Q248" s="12">
        <v>4985.951448571428</v>
      </c>
      <c r="R248" s="12">
        <v>2094.8628409523812</v>
      </c>
      <c r="S248" s="34">
        <v>0.18</v>
      </c>
      <c r="T248" s="42">
        <v>110.5</v>
      </c>
      <c r="U248" s="42">
        <v>110</v>
      </c>
      <c r="V248" s="42">
        <v>88.8</v>
      </c>
      <c r="W248" s="42">
        <v>115.8</v>
      </c>
      <c r="X248" s="23">
        <f>[1]ישיר!D237/1000</f>
        <v>11715.724</v>
      </c>
      <c r="Y248" s="23">
        <v>7390.8959999999997</v>
      </c>
      <c r="Z248" s="23">
        <f>[1]עקיף!H237</f>
        <v>1390</v>
      </c>
      <c r="AA248" s="23">
        <f>[1]עקיף!P237</f>
        <v>1437</v>
      </c>
      <c r="AB248" s="23">
        <f>[1]עקיף!Q237</f>
        <v>9216</v>
      </c>
      <c r="AC248" s="60">
        <f>[2]monthly!AY345</f>
        <v>4.302954365602743E-2</v>
      </c>
      <c r="AD248" s="60">
        <f>[2]monthly!AZ345</f>
        <v>0.79753859100113089</v>
      </c>
      <c r="AE248" s="60">
        <f>[2]monthly!BA345</f>
        <v>0.76322086938228106</v>
      </c>
      <c r="AF248" s="79">
        <v>9139.2211412350716</v>
      </c>
      <c r="AG248" s="79">
        <v>3358.4</v>
      </c>
      <c r="AH248" s="64">
        <v>85712.656258000003</v>
      </c>
      <c r="AI248" s="4">
        <v>361.5</v>
      </c>
      <c r="AJ248" s="69">
        <v>243.3</v>
      </c>
      <c r="AK248" s="68">
        <v>72.400000000000006</v>
      </c>
      <c r="AL248" s="74">
        <v>72.20339733242605</v>
      </c>
      <c r="AM248" s="72">
        <v>33360</v>
      </c>
      <c r="AT248" s="68"/>
      <c r="AU248" s="68"/>
      <c r="AV248" s="68"/>
      <c r="AW248" s="68"/>
    </row>
    <row r="249" spans="1:49" ht="16.5" thickBot="1">
      <c r="A249" s="28">
        <v>42125</v>
      </c>
      <c r="B249" s="29">
        <f t="shared" si="9"/>
        <v>5</v>
      </c>
      <c r="C249" s="29">
        <f t="shared" si="10"/>
        <v>2</v>
      </c>
      <c r="D249" s="29">
        <f t="shared" si="11"/>
        <v>2015</v>
      </c>
      <c r="E249" s="11">
        <v>93.873882463599998</v>
      </c>
      <c r="F249" s="23">
        <v>11260</v>
      </c>
      <c r="G249" s="23">
        <v>11572</v>
      </c>
      <c r="H249" s="46">
        <v>8213</v>
      </c>
      <c r="I249" s="47">
        <v>1770</v>
      </c>
      <c r="J249" s="13">
        <v>129.37</v>
      </c>
      <c r="K249" s="42">
        <v>249.2</v>
      </c>
      <c r="L249" s="23">
        <v>59.24666666666667</v>
      </c>
      <c r="M249" s="30">
        <v>89.99</v>
      </c>
      <c r="N249" s="30">
        <v>3.8622500000000004</v>
      </c>
      <c r="O249" s="12">
        <v>1667.4249999999997</v>
      </c>
      <c r="P249" s="12">
        <v>1447.1649999999997</v>
      </c>
      <c r="Q249" s="12">
        <v>5029.4314610000001</v>
      </c>
      <c r="R249" s="12">
        <v>2113.7409999999995</v>
      </c>
      <c r="S249" s="34">
        <v>0.18</v>
      </c>
      <c r="T249" s="42">
        <v>109.9</v>
      </c>
      <c r="U249" s="42">
        <v>111.4</v>
      </c>
      <c r="V249" s="42">
        <v>88.4</v>
      </c>
      <c r="W249" s="42">
        <v>116.7</v>
      </c>
      <c r="X249" s="23">
        <f>[1]ישיר!D238/1000</f>
        <v>11396.879000000001</v>
      </c>
      <c r="Y249" s="23">
        <v>7509.2809999999999</v>
      </c>
      <c r="Z249" s="23">
        <f>[1]עקיף!H238</f>
        <v>1770</v>
      </c>
      <c r="AA249" s="23">
        <f>[1]עקיף!P238</f>
        <v>1808</v>
      </c>
      <c r="AB249" s="23">
        <f>[1]עקיף!Q238</f>
        <v>11791</v>
      </c>
      <c r="AC249" s="60">
        <f>[2]monthly!AY346</f>
        <v>4.4447366690775189E-2</v>
      </c>
      <c r="AD249" s="60">
        <f>[2]monthly!AZ346</f>
        <v>0.79692944536141896</v>
      </c>
      <c r="AE249" s="60">
        <f>[2]monthly!BA346</f>
        <v>0.76153422934842407</v>
      </c>
      <c r="AF249" s="79">
        <v>9122.13450139831</v>
      </c>
      <c r="AG249" s="79">
        <v>3370.0615991588802</v>
      </c>
      <c r="AH249" s="64">
        <v>85763.847833000007</v>
      </c>
      <c r="AI249" s="4">
        <v>364.5</v>
      </c>
      <c r="AJ249" s="69">
        <v>249.2</v>
      </c>
      <c r="AK249" s="68">
        <v>71.7</v>
      </c>
      <c r="AL249" s="74">
        <v>72.374988561563157</v>
      </c>
      <c r="AM249" s="72">
        <v>37056</v>
      </c>
      <c r="AT249" s="68"/>
      <c r="AU249" s="68"/>
      <c r="AV249" s="68"/>
      <c r="AW249" s="68"/>
    </row>
    <row r="250" spans="1:49" ht="16.5" thickBot="1">
      <c r="A250" s="28">
        <v>42156</v>
      </c>
      <c r="B250" s="29">
        <f t="shared" si="9"/>
        <v>6</v>
      </c>
      <c r="C250" s="29">
        <f t="shared" si="10"/>
        <v>2</v>
      </c>
      <c r="D250" s="29">
        <f t="shared" si="11"/>
        <v>2015</v>
      </c>
      <c r="E250" s="11">
        <v>94.156635121600004</v>
      </c>
      <c r="F250" s="23">
        <v>10241</v>
      </c>
      <c r="G250" s="23">
        <v>9337</v>
      </c>
      <c r="H250" s="46">
        <v>6126</v>
      </c>
      <c r="I250" s="47">
        <v>1751</v>
      </c>
      <c r="J250" s="13">
        <v>130.49</v>
      </c>
      <c r="K250" s="42">
        <v>248.6</v>
      </c>
      <c r="L250" s="23">
        <v>59.819545454545441</v>
      </c>
      <c r="M250" s="30">
        <v>90.61</v>
      </c>
      <c r="N250" s="30">
        <v>3.8244545454545449</v>
      </c>
      <c r="O250" s="12">
        <v>1685.2881818181816</v>
      </c>
      <c r="P250" s="12">
        <v>1452.3495454545457</v>
      </c>
      <c r="Q250" s="12">
        <v>5073.8599999999997</v>
      </c>
      <c r="R250" s="12">
        <v>2099.2890909090906</v>
      </c>
      <c r="S250" s="34">
        <v>0.18</v>
      </c>
      <c r="T250" s="42">
        <v>112.5</v>
      </c>
      <c r="U250" s="42">
        <v>112.8</v>
      </c>
      <c r="V250" s="42">
        <v>85.5</v>
      </c>
      <c r="W250" s="42">
        <v>117.8</v>
      </c>
      <c r="X250" s="23">
        <f>[1]ישיר!D239/1000</f>
        <v>10187.587</v>
      </c>
      <c r="Y250" s="23">
        <v>6369.0079999999998</v>
      </c>
      <c r="Z250" s="23">
        <f>[1]עקיף!H239</f>
        <v>1751</v>
      </c>
      <c r="AA250" s="23">
        <f>[1]עקיף!P239</f>
        <v>1275</v>
      </c>
      <c r="AB250" s="23">
        <f>[1]עקיף!Q239</f>
        <v>9152</v>
      </c>
      <c r="AC250" s="60">
        <f>[2]monthly!AY347</f>
        <v>4.4838202541595706E-2</v>
      </c>
      <c r="AD250" s="60">
        <f>[2]monthly!AZ347</f>
        <v>0.80033552648824335</v>
      </c>
      <c r="AE250" s="60">
        <f>[2]monthly!BA347</f>
        <v>0.76444992005032897</v>
      </c>
      <c r="AF250" s="79">
        <v>9115.4958343722901</v>
      </c>
      <c r="AG250" s="79">
        <v>3383.8649858086001</v>
      </c>
      <c r="AH250" s="64">
        <v>88178.95018</v>
      </c>
      <c r="AI250" s="4">
        <v>368.3</v>
      </c>
      <c r="AJ250" s="69">
        <v>248.6</v>
      </c>
      <c r="AK250" s="68">
        <v>74.400000000000006</v>
      </c>
      <c r="AL250" s="74">
        <v>72.722546623138172</v>
      </c>
      <c r="AM250" s="72">
        <v>52140</v>
      </c>
      <c r="AT250" s="68"/>
      <c r="AU250" s="68"/>
      <c r="AV250" s="68"/>
      <c r="AW250" s="68"/>
    </row>
    <row r="251" spans="1:49" ht="16.5" thickBot="1">
      <c r="A251" s="28">
        <v>42186</v>
      </c>
      <c r="B251" s="29">
        <f t="shared" si="9"/>
        <v>7</v>
      </c>
      <c r="C251" s="29">
        <f t="shared" si="10"/>
        <v>3</v>
      </c>
      <c r="D251" s="29">
        <f t="shared" si="11"/>
        <v>2015</v>
      </c>
      <c r="E251" s="11">
        <v>94.345136893599999</v>
      </c>
      <c r="F251" s="36">
        <v>13250</v>
      </c>
      <c r="G251" s="23">
        <v>12178</v>
      </c>
      <c r="H251" s="46">
        <v>8617</v>
      </c>
      <c r="I251" s="47">
        <v>1824</v>
      </c>
      <c r="J251" s="13">
        <v>128.61000000000001</v>
      </c>
      <c r="K251" s="42">
        <v>248.6</v>
      </c>
      <c r="L251" s="23">
        <v>50.900909090909089</v>
      </c>
      <c r="M251" s="30">
        <v>91.97</v>
      </c>
      <c r="N251" s="30">
        <v>3.7890000000000001</v>
      </c>
      <c r="O251" s="12">
        <v>1684.685238095238</v>
      </c>
      <c r="P251" s="12">
        <v>1451.5061904761906</v>
      </c>
      <c r="Q251" s="12">
        <v>5082.8104420909094</v>
      </c>
      <c r="R251" s="12">
        <v>2094.1436403636362</v>
      </c>
      <c r="S251" s="34">
        <v>0.18</v>
      </c>
      <c r="T251" s="42">
        <v>112.1</v>
      </c>
      <c r="U251" s="42">
        <v>112.4</v>
      </c>
      <c r="V251" s="42">
        <v>88.2</v>
      </c>
      <c r="W251" s="42">
        <v>117.5</v>
      </c>
      <c r="X251" s="23">
        <f>[1]ישיר!D240/1000</f>
        <v>13611.563</v>
      </c>
      <c r="Y251" s="23">
        <v>7949.2030000000004</v>
      </c>
      <c r="Z251" s="23">
        <f>[1]עקיף!H240</f>
        <v>1824</v>
      </c>
      <c r="AA251" s="23">
        <f>[1]עקיף!P240</f>
        <v>1777</v>
      </c>
      <c r="AB251" s="23">
        <f>[1]עקיף!Q240</f>
        <v>12218</v>
      </c>
      <c r="AC251" s="60">
        <f>[2]monthly!AY348</f>
        <v>4.638279739076278E-2</v>
      </c>
      <c r="AD251" s="60">
        <f>[2]monthly!AZ348</f>
        <v>0.7988216810683425</v>
      </c>
      <c r="AE251" s="60">
        <f>[2]monthly!BA348</f>
        <v>0.76174391201885305</v>
      </c>
      <c r="AF251" s="79">
        <v>9078.1752621591568</v>
      </c>
      <c r="AG251" s="79">
        <v>3395.9818790004902</v>
      </c>
      <c r="AH251" s="64">
        <v>88424.258652999997</v>
      </c>
      <c r="AI251" s="4">
        <v>369.2</v>
      </c>
      <c r="AJ251" s="69">
        <v>248.5</v>
      </c>
      <c r="AK251" s="68">
        <v>72.400000000000006</v>
      </c>
      <c r="AL251" s="74">
        <v>72.994952834433803</v>
      </c>
      <c r="AM251" s="72">
        <v>28968</v>
      </c>
      <c r="AT251" s="68"/>
      <c r="AU251" s="68"/>
      <c r="AV251" s="68"/>
      <c r="AW251" s="68"/>
    </row>
    <row r="252" spans="1:49" ht="16.5" thickBot="1">
      <c r="A252" s="28">
        <v>42217</v>
      </c>
      <c r="B252" s="29">
        <f t="shared" si="9"/>
        <v>8</v>
      </c>
      <c r="C252" s="29">
        <f t="shared" si="10"/>
        <v>3</v>
      </c>
      <c r="D252" s="29">
        <f t="shared" si="11"/>
        <v>2015</v>
      </c>
      <c r="E252" s="11">
        <v>94.156635121600004</v>
      </c>
      <c r="F252" s="36">
        <v>12354</v>
      </c>
      <c r="G252" s="23">
        <v>10517</v>
      </c>
      <c r="H252" s="46">
        <v>7423</v>
      </c>
      <c r="I252" s="47">
        <v>1937</v>
      </c>
      <c r="J252" s="13">
        <v>130.11000000000001</v>
      </c>
      <c r="K252" s="42">
        <v>253.6</v>
      </c>
      <c r="L252" s="23">
        <v>42.867619047619051</v>
      </c>
      <c r="M252" s="30">
        <v>94.02</v>
      </c>
      <c r="N252" s="30">
        <v>3.8448571428571436</v>
      </c>
      <c r="O252" s="12">
        <v>1676.3354545454545</v>
      </c>
      <c r="P252" s="12">
        <v>1457.7245454545453</v>
      </c>
      <c r="Q252" s="12">
        <v>4934.6228608571428</v>
      </c>
      <c r="R252" s="12">
        <v>2039.8662050952382</v>
      </c>
      <c r="S252" s="34">
        <v>0.18</v>
      </c>
      <c r="T252" s="42">
        <v>115</v>
      </c>
      <c r="U252" s="42">
        <v>114.2</v>
      </c>
      <c r="V252" s="42">
        <v>91.4</v>
      </c>
      <c r="W252" s="42">
        <v>121.9</v>
      </c>
      <c r="X252" s="23">
        <f>[1]ישיר!D241/1000</f>
        <v>11920.431</v>
      </c>
      <c r="Y252" s="23">
        <v>6607.3969999999999</v>
      </c>
      <c r="Z252" s="23">
        <f>[1]עקיף!H241</f>
        <v>1937</v>
      </c>
      <c r="AA252" s="23">
        <f>[1]עקיף!P241</f>
        <v>1514</v>
      </c>
      <c r="AB252" s="23">
        <f>[1]עקיף!Q241</f>
        <v>10874</v>
      </c>
      <c r="AC252" s="60">
        <f>[2]monthly!AY349</f>
        <v>4.3912760416666669E-2</v>
      </c>
      <c r="AD252" s="60">
        <f>[2]monthly!AZ349</f>
        <v>0.80070896105927125</v>
      </c>
      <c r="AE252" s="60">
        <f>[2]monthly!BA349</f>
        <v>0.76554762028879741</v>
      </c>
      <c r="AF252" s="79">
        <v>9225.3841351489027</v>
      </c>
      <c r="AG252" s="79">
        <v>3404.3481584216102</v>
      </c>
      <c r="AH252" s="64">
        <v>88998.359263000006</v>
      </c>
      <c r="AI252" s="4">
        <v>369</v>
      </c>
      <c r="AJ252" s="69">
        <v>253.6</v>
      </c>
      <c r="AK252" s="68">
        <v>74.599999999999994</v>
      </c>
      <c r="AL252" s="74">
        <v>73.454894930665461</v>
      </c>
      <c r="AM252" s="72">
        <v>31704</v>
      </c>
      <c r="AT252" s="68"/>
      <c r="AU252" s="68"/>
      <c r="AV252" s="68"/>
      <c r="AW252" s="68"/>
    </row>
    <row r="253" spans="1:49" ht="16.5" thickBot="1">
      <c r="A253" s="28">
        <v>42248</v>
      </c>
      <c r="B253" s="29">
        <f t="shared" si="9"/>
        <v>9</v>
      </c>
      <c r="C253" s="29">
        <f t="shared" si="10"/>
        <v>3</v>
      </c>
      <c r="D253" s="29">
        <f t="shared" si="11"/>
        <v>2015</v>
      </c>
      <c r="E253" s="11">
        <v>93.7796315776</v>
      </c>
      <c r="F253" s="36">
        <v>11177</v>
      </c>
      <c r="G253" s="23">
        <v>11042</v>
      </c>
      <c r="H253" s="46">
        <v>8409</v>
      </c>
      <c r="I253" s="44">
        <v>1238</v>
      </c>
      <c r="J253" s="13">
        <v>131.44999999999999</v>
      </c>
      <c r="K253" s="42">
        <v>257.8</v>
      </c>
      <c r="L253" s="23">
        <v>45.479523809523805</v>
      </c>
      <c r="M253" s="30">
        <v>93.19</v>
      </c>
      <c r="N253" s="30">
        <v>3.9129411764705888</v>
      </c>
      <c r="O253" s="12">
        <v>1574.5353333333335</v>
      </c>
      <c r="P253" s="12">
        <v>1375.2806666666668</v>
      </c>
      <c r="Q253" s="12">
        <v>4748.0043247142848</v>
      </c>
      <c r="R253" s="12">
        <v>1944.4047619523806</v>
      </c>
      <c r="S253" s="34">
        <v>0.18</v>
      </c>
      <c r="T253" s="42">
        <v>114.5</v>
      </c>
      <c r="U253" s="42">
        <v>114.3</v>
      </c>
      <c r="V253" s="42">
        <v>91.2</v>
      </c>
      <c r="W253" s="42">
        <v>118.5</v>
      </c>
      <c r="X253" s="23">
        <f>[1]ישיר!D242/1000</f>
        <v>11673.291999999999</v>
      </c>
      <c r="Y253" s="23">
        <v>6830.933</v>
      </c>
      <c r="Z253" s="23">
        <f>[1]עקיף!H242</f>
        <v>1238</v>
      </c>
      <c r="AA253" s="23">
        <f>[1]עקיף!P242</f>
        <v>1653</v>
      </c>
      <c r="AB253" s="23">
        <f>[1]עקיף!Q242</f>
        <v>11300</v>
      </c>
      <c r="AC253" s="60">
        <f>[2]monthly!AY350</f>
        <v>4.4775147350939459E-2</v>
      </c>
      <c r="AD253" s="60">
        <f>[2]monthly!AZ350</f>
        <v>0.80121582133166347</v>
      </c>
      <c r="AE253" s="60">
        <f>[2]monthly!BA350</f>
        <v>0.76534126487163434</v>
      </c>
      <c r="AF253" s="79">
        <v>9298.4952551910137</v>
      </c>
      <c r="AG253" s="79">
        <v>3375.2572655911099</v>
      </c>
      <c r="AH253" s="64">
        <v>89475.833069999993</v>
      </c>
      <c r="AI253" s="4">
        <v>371.3</v>
      </c>
      <c r="AJ253" s="69">
        <v>257.7</v>
      </c>
      <c r="AK253" s="68">
        <v>73.7</v>
      </c>
      <c r="AL253" s="74">
        <v>73.670605599624139</v>
      </c>
      <c r="AM253" s="72">
        <v>32196</v>
      </c>
      <c r="AT253" s="68"/>
      <c r="AU253" s="68"/>
      <c r="AV253" s="68"/>
      <c r="AW253" s="68"/>
    </row>
    <row r="254" spans="1:49" ht="16.5" thickBot="1">
      <c r="A254" s="28">
        <v>42278</v>
      </c>
      <c r="B254" s="29">
        <f t="shared" si="9"/>
        <v>10</v>
      </c>
      <c r="C254" s="29">
        <f t="shared" si="10"/>
        <v>4</v>
      </c>
      <c r="D254" s="29">
        <f t="shared" si="11"/>
        <v>2015</v>
      </c>
      <c r="E254" s="11">
        <v>93.873882463599998</v>
      </c>
      <c r="F254" s="36">
        <v>9990</v>
      </c>
      <c r="G254" s="23">
        <v>10082</v>
      </c>
      <c r="H254" s="46">
        <v>6598</v>
      </c>
      <c r="I254" s="47">
        <v>1692</v>
      </c>
      <c r="J254" s="13">
        <v>129.47999999999999</v>
      </c>
      <c r="K254" s="42">
        <v>255.3</v>
      </c>
      <c r="L254" s="23">
        <v>46.223636363636359</v>
      </c>
      <c r="M254" s="30">
        <v>91.42</v>
      </c>
      <c r="N254" s="30">
        <v>3.8629999999999995</v>
      </c>
      <c r="O254" s="12">
        <v>1536.833157894737</v>
      </c>
      <c r="P254" s="12">
        <v>1338.7231578947367</v>
      </c>
      <c r="Q254" s="12">
        <v>4879.0368208181817</v>
      </c>
      <c r="R254" s="12">
        <v>2024.8127163636366</v>
      </c>
      <c r="S254" s="31">
        <v>0.17</v>
      </c>
      <c r="T254" s="42">
        <v>114.3</v>
      </c>
      <c r="U254" s="42">
        <v>114.3</v>
      </c>
      <c r="V254" s="42">
        <v>88.6</v>
      </c>
      <c r="W254" s="42">
        <v>121</v>
      </c>
      <c r="X254" s="23">
        <f>[1]ישיר!D243/1000</f>
        <v>10350.603999999999</v>
      </c>
      <c r="Y254" s="23">
        <v>6346.7269999999999</v>
      </c>
      <c r="Z254" s="23">
        <f>[1]עקיף!H243</f>
        <v>1692</v>
      </c>
      <c r="AA254" s="23">
        <f>[1]עקיף!P243</f>
        <v>1300</v>
      </c>
      <c r="AB254" s="23">
        <f>[1]עקיף!Q243</f>
        <v>9590</v>
      </c>
      <c r="AC254" s="60">
        <f>[2]monthly!AY351</f>
        <v>4.5364571502742E-2</v>
      </c>
      <c r="AD254" s="60">
        <f>[2]monthly!AZ351</f>
        <v>0.80110741395445562</v>
      </c>
      <c r="AE254" s="60">
        <f>[2]monthly!BA351</f>
        <v>0.76479151502547571</v>
      </c>
      <c r="AF254" s="79">
        <v>9237.7858726384966</v>
      </c>
      <c r="AG254" s="79">
        <v>3423.46576330274</v>
      </c>
      <c r="AH254" s="64">
        <v>89230.161653999996</v>
      </c>
      <c r="AI254" s="4">
        <v>374.4</v>
      </c>
      <c r="AJ254" s="69">
        <v>255.3</v>
      </c>
      <c r="AK254" s="68">
        <v>72.3</v>
      </c>
      <c r="AL254" s="74">
        <v>73.877216074637403</v>
      </c>
      <c r="AM254" s="72">
        <v>30888</v>
      </c>
      <c r="AT254" s="68"/>
      <c r="AU254" s="68"/>
      <c r="AV254" s="68"/>
      <c r="AW254" s="68"/>
    </row>
    <row r="255" spans="1:49" ht="16.5" thickBot="1">
      <c r="A255" s="28">
        <v>42309</v>
      </c>
      <c r="B255" s="29">
        <f t="shared" si="9"/>
        <v>11</v>
      </c>
      <c r="C255" s="29">
        <f t="shared" si="10"/>
        <v>4</v>
      </c>
      <c r="D255" s="29">
        <f t="shared" si="11"/>
        <v>2015</v>
      </c>
      <c r="E255" s="11">
        <v>93.496878919599993</v>
      </c>
      <c r="F255" s="36">
        <v>11084</v>
      </c>
      <c r="G255" s="23">
        <v>10426</v>
      </c>
      <c r="H255" s="46">
        <v>7459</v>
      </c>
      <c r="I255" s="47">
        <v>1450</v>
      </c>
      <c r="J255" s="13">
        <v>128.25</v>
      </c>
      <c r="K255" s="42">
        <v>260.89999999999998</v>
      </c>
      <c r="L255" s="23">
        <v>42.385238095238094</v>
      </c>
      <c r="M255" s="30">
        <v>92.08</v>
      </c>
      <c r="N255" s="30">
        <v>3.8893333333333326</v>
      </c>
      <c r="O255" s="12">
        <v>1565.9031818181816</v>
      </c>
      <c r="P255" s="12">
        <v>1354.3631818181818</v>
      </c>
      <c r="Q255" s="12">
        <v>5078.8380371499989</v>
      </c>
      <c r="R255" s="12">
        <v>2080.6165038999998</v>
      </c>
      <c r="S255" s="34">
        <v>0.17</v>
      </c>
      <c r="T255" s="42">
        <v>115.9</v>
      </c>
      <c r="U255" s="42">
        <v>116.6</v>
      </c>
      <c r="V255" s="42">
        <v>90</v>
      </c>
      <c r="W255" s="42">
        <v>118.3</v>
      </c>
      <c r="X255" s="23">
        <f>[1]ישיר!D244/1000</f>
        <v>11300.246999999999</v>
      </c>
      <c r="Y255" s="23">
        <v>6705.9979999999996</v>
      </c>
      <c r="Z255" s="23">
        <f>[1]עקיף!H244</f>
        <v>1450</v>
      </c>
      <c r="AA255" s="23">
        <f>[1]עקיף!P244</f>
        <v>1649</v>
      </c>
      <c r="AB255" s="23">
        <f>[1]עקיף!Q244</f>
        <v>10558</v>
      </c>
      <c r="AC255" s="60">
        <f>[2]monthly!AY352</f>
        <v>4.4138291273546404E-2</v>
      </c>
      <c r="AD255" s="60">
        <f>[2]monthly!AZ352</f>
        <v>0.7944342142801567</v>
      </c>
      <c r="AE255" s="60">
        <f>[2]monthly!BA352</f>
        <v>0.75934330990481635</v>
      </c>
      <c r="AF255" s="79">
        <v>9272.2280826119386</v>
      </c>
      <c r="AG255" s="79">
        <v>3433.1408425488798</v>
      </c>
      <c r="AH255" s="64">
        <v>88822.492438000001</v>
      </c>
      <c r="AI255" s="4">
        <v>377.5</v>
      </c>
      <c r="AJ255" s="69">
        <v>260.89999999999998</v>
      </c>
      <c r="AK255" s="68">
        <v>78.3</v>
      </c>
      <c r="AL255" s="74">
        <v>74.279043555781925</v>
      </c>
      <c r="AM255" s="72">
        <v>31332</v>
      </c>
      <c r="AT255" s="68"/>
      <c r="AU255" s="68"/>
      <c r="AV255" s="68"/>
      <c r="AW255" s="68"/>
    </row>
    <row r="256" spans="1:49" ht="16.5" thickBot="1">
      <c r="A256" s="28">
        <v>42339</v>
      </c>
      <c r="B256" s="29">
        <f t="shared" si="9"/>
        <v>12</v>
      </c>
      <c r="C256" s="29">
        <f t="shared" si="10"/>
        <v>4</v>
      </c>
      <c r="D256" s="29">
        <f t="shared" si="11"/>
        <v>2015</v>
      </c>
      <c r="E256" s="11">
        <v>93.402628033599996</v>
      </c>
      <c r="F256" s="36">
        <v>8593</v>
      </c>
      <c r="G256" s="23">
        <v>9243</v>
      </c>
      <c r="H256" s="46">
        <v>5877</v>
      </c>
      <c r="I256" s="47">
        <v>1776</v>
      </c>
      <c r="J256" s="13">
        <v>133.80000000000001</v>
      </c>
      <c r="K256" s="42">
        <v>261.89999999999998</v>
      </c>
      <c r="L256" s="23">
        <v>37.188636363636363</v>
      </c>
      <c r="M256" s="30">
        <v>92.85</v>
      </c>
      <c r="N256" s="30">
        <v>3.8813636363636363</v>
      </c>
      <c r="O256" s="12">
        <v>1526.669565217391</v>
      </c>
      <c r="P256" s="12">
        <v>1316.468260869565</v>
      </c>
      <c r="Q256" s="12">
        <v>5040.5400568181813</v>
      </c>
      <c r="R256" s="12">
        <v>2054.079557090909</v>
      </c>
      <c r="S256" s="34">
        <v>0.17</v>
      </c>
      <c r="T256" s="42">
        <v>116.6</v>
      </c>
      <c r="U256" s="42">
        <v>115.9</v>
      </c>
      <c r="V256" s="42">
        <v>90.6</v>
      </c>
      <c r="W256" s="42">
        <v>119.1</v>
      </c>
      <c r="X256" s="23">
        <f>[1]ישיר!D245/1000</f>
        <v>10015.517</v>
      </c>
      <c r="Y256" s="23">
        <v>6481.2820000000002</v>
      </c>
      <c r="Z256" s="23">
        <f>[1]עקיף!H245</f>
        <v>1776</v>
      </c>
      <c r="AA256" s="23">
        <f>[1]עקיף!P245</f>
        <v>1296</v>
      </c>
      <c r="AB256" s="23">
        <f>[1]עקיף!Q245</f>
        <v>8949</v>
      </c>
      <c r="AC256" s="60">
        <f>[2]monthly!AY353</f>
        <v>4.5010863572980515E-2</v>
      </c>
      <c r="AD256" s="60">
        <f>[2]monthly!AZ353</f>
        <v>0.79869978502421712</v>
      </c>
      <c r="AE256" s="60">
        <f>[2]monthly!BA353</f>
        <v>0.76274961796472329</v>
      </c>
      <c r="AF256" s="79">
        <v>9247.2196682700887</v>
      </c>
      <c r="AG256" s="79">
        <v>3447.8050344138201</v>
      </c>
      <c r="AH256" s="64">
        <v>90574.783563000005</v>
      </c>
      <c r="AI256" s="4">
        <v>380.4</v>
      </c>
      <c r="AJ256" s="69">
        <v>261.8</v>
      </c>
      <c r="AK256" s="68">
        <v>76.099999999999994</v>
      </c>
      <c r="AL256" s="74">
        <v>74.53443167505516</v>
      </c>
      <c r="AM256" s="72">
        <v>31200</v>
      </c>
      <c r="AT256" s="68"/>
      <c r="AU256" s="68"/>
      <c r="AV256" s="68"/>
      <c r="AW256" s="68"/>
    </row>
    <row r="257" spans="1:49" ht="16.5" thickBot="1">
      <c r="A257" s="28">
        <v>42370</v>
      </c>
      <c r="B257" s="29">
        <f t="shared" si="9"/>
        <v>1</v>
      </c>
      <c r="C257" s="29">
        <f t="shared" si="10"/>
        <v>1</v>
      </c>
      <c r="D257" s="29">
        <f t="shared" si="11"/>
        <v>2016</v>
      </c>
      <c r="E257" s="11">
        <v>92.931373603500006</v>
      </c>
      <c r="F257" s="23">
        <v>13670</v>
      </c>
      <c r="G257" s="23">
        <v>13160</v>
      </c>
      <c r="H257" s="50">
        <v>9344</v>
      </c>
      <c r="I257" s="51">
        <v>2190</v>
      </c>
      <c r="J257" s="13">
        <v>128.76</v>
      </c>
      <c r="K257" s="42">
        <v>264</v>
      </c>
      <c r="L257" s="23">
        <v>31.571500000000004</v>
      </c>
      <c r="M257" s="30">
        <v>93.14</v>
      </c>
      <c r="N257" s="30">
        <v>3.9508999999999994</v>
      </c>
      <c r="O257" s="12">
        <v>1478.0880952380951</v>
      </c>
      <c r="P257" s="12">
        <v>1271.261428571429</v>
      </c>
      <c r="Q257" s="12">
        <v>4610.714241421053</v>
      </c>
      <c r="R257" s="12">
        <v>1918.5978911052632</v>
      </c>
      <c r="S257" s="34">
        <v>0.17</v>
      </c>
      <c r="T257" s="42">
        <v>116.2</v>
      </c>
      <c r="U257" s="42">
        <v>116</v>
      </c>
      <c r="V257" s="42">
        <v>91.3</v>
      </c>
      <c r="W257" s="42">
        <v>123.1</v>
      </c>
      <c r="X257" s="23">
        <f>[1]ישיר!D246/1000</f>
        <v>14522.028</v>
      </c>
      <c r="Y257" s="23">
        <v>8365.4380000000001</v>
      </c>
      <c r="Z257" s="23">
        <f>[1]עקיף!H246</f>
        <v>2190</v>
      </c>
      <c r="AA257" s="23">
        <f>[1]עקיף!P246</f>
        <v>1714</v>
      </c>
      <c r="AB257" s="23">
        <f>[1]עקיף!Q246</f>
        <v>13248</v>
      </c>
      <c r="AC257" s="60">
        <f>[2]monthly!AY354</f>
        <v>4.5386517438833943E-2</v>
      </c>
      <c r="AD257" s="60">
        <f>[2]monthly!AZ354</f>
        <v>0.79501306225912416</v>
      </c>
      <c r="AE257" s="60">
        <f>[2]monthly!BA354</f>
        <v>0.75893018804479961</v>
      </c>
      <c r="AF257" s="79">
        <v>9253.501324297702</v>
      </c>
      <c r="AG257" s="79">
        <v>3443.72847715738</v>
      </c>
      <c r="AH257" s="64">
        <v>90487.135842000003</v>
      </c>
      <c r="AI257" s="4">
        <v>381.4</v>
      </c>
      <c r="AJ257" s="69">
        <v>264</v>
      </c>
      <c r="AK257" s="68">
        <v>75</v>
      </c>
      <c r="AL257" s="74">
        <v>74.795852546670645</v>
      </c>
      <c r="AM257" s="73">
        <v>33756</v>
      </c>
      <c r="AT257" s="68"/>
      <c r="AU257" s="68"/>
      <c r="AV257" s="68"/>
      <c r="AW257" s="68"/>
    </row>
    <row r="258" spans="1:49" ht="16.5" thickBot="1">
      <c r="A258" s="28">
        <v>42401</v>
      </c>
      <c r="B258" s="29">
        <f t="shared" si="9"/>
        <v>2</v>
      </c>
      <c r="C258" s="29">
        <f t="shared" si="10"/>
        <v>1</v>
      </c>
      <c r="D258" s="29">
        <f t="shared" si="11"/>
        <v>2016</v>
      </c>
      <c r="E258" s="11">
        <v>92.648620945499999</v>
      </c>
      <c r="F258" s="23">
        <v>11803</v>
      </c>
      <c r="G258" s="23">
        <v>8911</v>
      </c>
      <c r="H258" s="50">
        <v>6082</v>
      </c>
      <c r="I258" s="47">
        <v>1628</v>
      </c>
      <c r="J258" s="13">
        <v>128.59</v>
      </c>
      <c r="K258" s="42">
        <v>263.7</v>
      </c>
      <c r="L258" s="23">
        <v>30.323</v>
      </c>
      <c r="M258" s="30">
        <v>92.2</v>
      </c>
      <c r="N258" s="30">
        <v>3.9080476190476192</v>
      </c>
      <c r="O258" s="12">
        <v>1427.9666666666667</v>
      </c>
      <c r="P258" s="12">
        <v>1226.7438095238092</v>
      </c>
      <c r="Q258" s="12">
        <v>4463.2060049500005</v>
      </c>
      <c r="R258" s="12">
        <v>1904.4184928500006</v>
      </c>
      <c r="S258" s="34">
        <v>0.17</v>
      </c>
      <c r="T258" s="42">
        <v>113.9</v>
      </c>
      <c r="U258" s="42">
        <v>116.2</v>
      </c>
      <c r="V258" s="42">
        <v>90.5</v>
      </c>
      <c r="W258" s="42">
        <v>122.4</v>
      </c>
      <c r="X258" s="23">
        <f>[1]ישיר!D247/1000</f>
        <v>11500.009</v>
      </c>
      <c r="Y258" s="23">
        <v>6651.4539999999997</v>
      </c>
      <c r="Z258" s="23">
        <f>[1]עקיף!H247</f>
        <v>1628</v>
      </c>
      <c r="AA258" s="23">
        <f>[1]עקיף!P247</f>
        <v>1204</v>
      </c>
      <c r="AB258" s="23">
        <f>[1]עקיף!Q247</f>
        <v>8914</v>
      </c>
      <c r="AC258" s="60">
        <f>[2]monthly!AY355</f>
        <v>4.5430877375683409E-2</v>
      </c>
      <c r="AD258" s="60">
        <f>[2]monthly!AZ355</f>
        <v>0.79433357460448772</v>
      </c>
      <c r="AE258" s="60">
        <f>[2]monthly!BA355</f>
        <v>0.75824630338124288</v>
      </c>
      <c r="AF258" s="79">
        <v>9316.9476453530915</v>
      </c>
      <c r="AG258" s="79">
        <v>3467.0947432271</v>
      </c>
      <c r="AH258" s="64">
        <v>90618.848733000006</v>
      </c>
      <c r="AI258" s="4">
        <v>384</v>
      </c>
      <c r="AJ258" s="69">
        <v>263.60000000000002</v>
      </c>
      <c r="AK258" s="68">
        <v>73.599999999999994</v>
      </c>
      <c r="AL258" s="74">
        <v>74.964994746982939</v>
      </c>
      <c r="AM258" s="73">
        <v>33204</v>
      </c>
      <c r="AT258" s="68"/>
      <c r="AU258" s="68"/>
      <c r="AV258" s="68"/>
      <c r="AW258" s="68"/>
    </row>
    <row r="259" spans="1:49" ht="16.5" thickBot="1">
      <c r="A259" s="28">
        <v>42430</v>
      </c>
      <c r="B259" s="29">
        <f t="shared" si="9"/>
        <v>3</v>
      </c>
      <c r="C259" s="29">
        <f t="shared" si="10"/>
        <v>1</v>
      </c>
      <c r="D259" s="29">
        <f t="shared" si="11"/>
        <v>2016</v>
      </c>
      <c r="E259" s="11">
        <v>92.460119173500004</v>
      </c>
      <c r="F259" s="23">
        <v>11596</v>
      </c>
      <c r="G259" s="23">
        <v>11804</v>
      </c>
      <c r="H259" s="50">
        <v>8205</v>
      </c>
      <c r="I259" s="44">
        <v>2043</v>
      </c>
      <c r="J259" s="13">
        <v>131.1</v>
      </c>
      <c r="K259" s="42">
        <v>269.89999999999998</v>
      </c>
      <c r="L259" s="23">
        <v>37.546363636363637</v>
      </c>
      <c r="M259" s="30">
        <v>91.74</v>
      </c>
      <c r="N259" s="30">
        <v>3.8676190476190477</v>
      </c>
      <c r="O259" s="12">
        <v>1471.100909090909</v>
      </c>
      <c r="P259" s="12">
        <v>1264.863636363636</v>
      </c>
      <c r="Q259" s="12">
        <v>4754.4791130454541</v>
      </c>
      <c r="R259" s="12">
        <v>2021.9540969545451</v>
      </c>
      <c r="S259" s="34">
        <v>0.17</v>
      </c>
      <c r="T259" s="42">
        <v>116.8</v>
      </c>
      <c r="U259" s="42">
        <v>119.1</v>
      </c>
      <c r="V259" s="42">
        <v>94.9</v>
      </c>
      <c r="W259" s="42">
        <v>123.5</v>
      </c>
      <c r="X259" s="23">
        <f>[1]ישיר!D248/1000</f>
        <v>11830.656999999999</v>
      </c>
      <c r="Y259" s="23">
        <v>6967.6729999999998</v>
      </c>
      <c r="Z259" s="23">
        <f>[1]עקיף!H248</f>
        <v>2043</v>
      </c>
      <c r="AA259" s="23">
        <f>[1]עקיף!P248</f>
        <v>1643</v>
      </c>
      <c r="AB259" s="23">
        <f>[1]עקיף!Q248</f>
        <v>11891</v>
      </c>
      <c r="AC259" s="60">
        <f>[2]monthly!AY356</f>
        <v>4.559743332145056E-2</v>
      </c>
      <c r="AD259" s="60">
        <f>[2]monthly!AZ356</f>
        <v>0.79851460807908281</v>
      </c>
      <c r="AE259" s="60">
        <f>[2]monthly!BA356</f>
        <v>0.76210439148099263</v>
      </c>
      <c r="AF259" s="79">
        <v>9421.2253913856148</v>
      </c>
      <c r="AG259" s="79">
        <v>3468.7638348282799</v>
      </c>
      <c r="AH259" s="64">
        <v>94779.577600999997</v>
      </c>
      <c r="AI259" s="4">
        <v>389.1</v>
      </c>
      <c r="AJ259" s="69">
        <v>269.8</v>
      </c>
      <c r="AK259" s="68">
        <v>76.3</v>
      </c>
      <c r="AL259" s="74">
        <v>75.394756524046983</v>
      </c>
      <c r="AM259" s="73">
        <v>34836</v>
      </c>
      <c r="AT259" s="68"/>
      <c r="AU259" s="68"/>
      <c r="AV259" s="68"/>
      <c r="AW259" s="68"/>
    </row>
    <row r="260" spans="1:49" ht="16.5" thickBot="1">
      <c r="A260" s="28">
        <v>42461</v>
      </c>
      <c r="B260" s="29">
        <f t="shared" si="9"/>
        <v>4</v>
      </c>
      <c r="C260" s="29">
        <f t="shared" si="10"/>
        <v>2</v>
      </c>
      <c r="D260" s="29">
        <f t="shared" si="11"/>
        <v>2016</v>
      </c>
      <c r="E260" s="11">
        <v>92.837122717499994</v>
      </c>
      <c r="F260" s="23">
        <v>12049</v>
      </c>
      <c r="G260" s="23">
        <v>8714</v>
      </c>
      <c r="H260" s="50">
        <v>5687</v>
      </c>
      <c r="I260" s="47">
        <v>1646</v>
      </c>
      <c r="J260" s="13">
        <v>134.62</v>
      </c>
      <c r="K260" s="42">
        <v>270.3</v>
      </c>
      <c r="L260" s="23">
        <v>40.755238095238084</v>
      </c>
      <c r="M260" s="30">
        <v>91.31</v>
      </c>
      <c r="N260" s="30">
        <v>3.7784210526315793</v>
      </c>
      <c r="O260" s="12">
        <v>1466.8178947368419</v>
      </c>
      <c r="P260" s="12">
        <v>1267.9294736842105</v>
      </c>
      <c r="Q260" s="12">
        <v>4892.1681082857149</v>
      </c>
      <c r="R260" s="12">
        <v>2075.5352317619049</v>
      </c>
      <c r="S260" s="34">
        <v>0.17</v>
      </c>
      <c r="T260" s="42">
        <v>117.1</v>
      </c>
      <c r="U260" s="42">
        <v>119.6</v>
      </c>
      <c r="V260" s="42">
        <v>89.9</v>
      </c>
      <c r="W260" s="42">
        <v>123.5</v>
      </c>
      <c r="X260" s="23">
        <f>[1]ישיר!D249/1000</f>
        <v>11911.370999999999</v>
      </c>
      <c r="Y260" s="23">
        <v>7601.0770000000002</v>
      </c>
      <c r="Z260" s="23">
        <f>[1]עקיף!H249</f>
        <v>1646</v>
      </c>
      <c r="AA260" s="23">
        <f>[1]עקיף!P249</f>
        <v>1257</v>
      </c>
      <c r="AB260" s="23">
        <f>[1]עקיף!Q249</f>
        <v>8590</v>
      </c>
      <c r="AC260" s="60">
        <f>[2]monthly!AY357</f>
        <v>4.3377151900778406E-2</v>
      </c>
      <c r="AD260" s="60">
        <f>[2]monthly!AZ357</f>
        <v>0.80097790655559575</v>
      </c>
      <c r="AE260" s="60">
        <f>[2]monthly!BA357</f>
        <v>0.76623376623376627</v>
      </c>
      <c r="AF260" s="79">
        <v>9353.7701005583804</v>
      </c>
      <c r="AG260" s="79">
        <v>3483.8090693201002</v>
      </c>
      <c r="AH260" s="64">
        <v>95683.981843999994</v>
      </c>
      <c r="AI260" s="4">
        <v>390.2</v>
      </c>
      <c r="AJ260" s="69">
        <v>270.3</v>
      </c>
      <c r="AK260" s="68">
        <v>75.3</v>
      </c>
      <c r="AL260" s="74">
        <v>75.568737357442899</v>
      </c>
      <c r="AM260" s="73">
        <v>43860</v>
      </c>
      <c r="AT260" s="68"/>
      <c r="AU260" s="68"/>
      <c r="AV260" s="68"/>
      <c r="AW260" s="68"/>
    </row>
    <row r="261" spans="1:49" ht="16.5" thickBot="1">
      <c r="A261" s="28">
        <v>42491</v>
      </c>
      <c r="B261" s="29">
        <f t="shared" si="9"/>
        <v>5</v>
      </c>
      <c r="C261" s="29">
        <f t="shared" si="10"/>
        <v>2</v>
      </c>
      <c r="D261" s="29">
        <f t="shared" si="11"/>
        <v>2016</v>
      </c>
      <c r="E261" s="11">
        <v>93.119875375500001</v>
      </c>
      <c r="F261" s="23">
        <v>12653</v>
      </c>
      <c r="G261" s="23">
        <v>13095</v>
      </c>
      <c r="H261" s="50">
        <v>9175</v>
      </c>
      <c r="I261" s="47">
        <v>2268</v>
      </c>
      <c r="J261" s="13">
        <v>132.86000000000001</v>
      </c>
      <c r="K261" s="42">
        <v>268.3</v>
      </c>
      <c r="L261" s="23">
        <v>46.712380952380947</v>
      </c>
      <c r="M261" s="30">
        <v>92.45</v>
      </c>
      <c r="N261" s="30">
        <v>3.8134499999999996</v>
      </c>
      <c r="O261" s="12">
        <v>1417.5595238095239</v>
      </c>
      <c r="P261" s="12">
        <v>1228.0238095238096</v>
      </c>
      <c r="Q261" s="12">
        <v>4788.235235380952</v>
      </c>
      <c r="R261" s="12">
        <v>2065.5504790000005</v>
      </c>
      <c r="S261" s="34">
        <v>0.17</v>
      </c>
      <c r="T261" s="42">
        <v>117.8</v>
      </c>
      <c r="U261" s="42">
        <v>118.9</v>
      </c>
      <c r="V261" s="42">
        <v>93</v>
      </c>
      <c r="W261" s="42">
        <v>121.2</v>
      </c>
      <c r="X261" s="23">
        <f>[1]ישיר!D250/1000</f>
        <v>12701.773999999999</v>
      </c>
      <c r="Y261" s="23">
        <v>7879.9489999999996</v>
      </c>
      <c r="Z261" s="23">
        <f>[1]עקיף!H250</f>
        <v>2268</v>
      </c>
      <c r="AA261" s="23">
        <f>[1]עקיף!P250</f>
        <v>1792</v>
      </c>
      <c r="AB261" s="23">
        <f>[1]עקיף!Q250</f>
        <v>13235</v>
      </c>
      <c r="AC261" s="60">
        <f>[2]monthly!AY358</f>
        <v>4.0206051966565154E-2</v>
      </c>
      <c r="AD261" s="60">
        <f>[2]monthly!AZ358</f>
        <v>0.80005184033177812</v>
      </c>
      <c r="AE261" s="60">
        <f>[2]monthly!BA358</f>
        <v>0.76788491446345253</v>
      </c>
      <c r="AF261" s="79">
        <v>9330.82311064633</v>
      </c>
      <c r="AG261" s="79">
        <v>3478.7515395058499</v>
      </c>
      <c r="AH261" s="64">
        <v>96463.373846999995</v>
      </c>
      <c r="AI261" s="4">
        <v>391.1</v>
      </c>
      <c r="AJ261" s="69">
        <v>268.3</v>
      </c>
      <c r="AK261" s="68">
        <v>76.3</v>
      </c>
      <c r="AL261" s="74">
        <v>75.907683484043389</v>
      </c>
      <c r="AM261" s="73">
        <v>32772</v>
      </c>
      <c r="AT261" s="68"/>
      <c r="AU261" s="68"/>
      <c r="AV261" s="68"/>
      <c r="AW261" s="68"/>
    </row>
    <row r="262" spans="1:49" ht="16.5" thickBot="1">
      <c r="A262" s="28">
        <v>42522</v>
      </c>
      <c r="B262" s="29">
        <f t="shared" ref="B262:B325" si="12">MONTH(A262)</f>
        <v>6</v>
      </c>
      <c r="C262" s="29">
        <f t="shared" ref="C262:C325" si="13">ROUNDUP(B262/3,0)</f>
        <v>2</v>
      </c>
      <c r="D262" s="29">
        <f t="shared" ref="D262:D325" si="14">YEAR(A262)</f>
        <v>2016</v>
      </c>
      <c r="E262" s="11">
        <v>93.402628033599996</v>
      </c>
      <c r="F262" s="23">
        <v>11514</v>
      </c>
      <c r="G262" s="23">
        <v>9719</v>
      </c>
      <c r="H262" s="50">
        <v>6239</v>
      </c>
      <c r="I262" s="47">
        <v>1835</v>
      </c>
      <c r="J262" s="13">
        <v>131.93</v>
      </c>
      <c r="K262" s="42">
        <v>274.10000000000002</v>
      </c>
      <c r="L262" s="23">
        <v>48.757272727272721</v>
      </c>
      <c r="M262" s="30">
        <v>92.12</v>
      </c>
      <c r="N262" s="30">
        <v>3.8566363636363645</v>
      </c>
      <c r="O262" s="12">
        <v>1421.0704761904763</v>
      </c>
      <c r="P262" s="12">
        <v>1233.3804761904764</v>
      </c>
      <c r="Q262" s="12">
        <v>4856.2326882272737</v>
      </c>
      <c r="R262" s="12">
        <v>2083.886369136364</v>
      </c>
      <c r="S262" s="34">
        <v>0.17</v>
      </c>
      <c r="T262" s="42">
        <v>119</v>
      </c>
      <c r="U262" s="42">
        <v>119</v>
      </c>
      <c r="V262" s="42">
        <v>93.9</v>
      </c>
      <c r="W262" s="42">
        <v>122.9</v>
      </c>
      <c r="X262" s="23">
        <f>[1]ישיר!D251/1000</f>
        <v>11357.789000000001</v>
      </c>
      <c r="Y262" s="23">
        <v>6480.6980000000003</v>
      </c>
      <c r="Z262" s="23">
        <f>[1]עקיף!H251</f>
        <v>1835</v>
      </c>
      <c r="AA262" s="23">
        <f>[1]עקיף!P251</f>
        <v>1542</v>
      </c>
      <c r="AB262" s="23">
        <f>[1]עקיף!Q251</f>
        <v>9616</v>
      </c>
      <c r="AC262" s="60">
        <f>[2]monthly!AY359</f>
        <v>3.7671896184388917E-2</v>
      </c>
      <c r="AD262" s="60">
        <f>[2]monthly!AZ359</f>
        <v>0.79864906672166647</v>
      </c>
      <c r="AE262" s="60">
        <f>[2]monthly!BA359</f>
        <v>0.76856244199236867</v>
      </c>
      <c r="AF262" s="79">
        <v>9378.1433592383146</v>
      </c>
      <c r="AG262" s="79">
        <v>3489.56857506594</v>
      </c>
      <c r="AH262" s="64">
        <v>96634.682209999999</v>
      </c>
      <c r="AI262" s="4">
        <v>393.4</v>
      </c>
      <c r="AJ262" s="69">
        <v>274.10000000000002</v>
      </c>
      <c r="AK262" s="68">
        <v>75.900000000000006</v>
      </c>
      <c r="AL262" s="74">
        <v>76.282209074109176</v>
      </c>
      <c r="AM262" s="73">
        <v>34392</v>
      </c>
      <c r="AT262" s="68"/>
      <c r="AU262" s="68"/>
      <c r="AV262" s="68"/>
      <c r="AW262" s="68"/>
    </row>
    <row r="263" spans="1:49" ht="16.5" thickBot="1">
      <c r="A263" s="28">
        <v>42552</v>
      </c>
      <c r="B263" s="29">
        <f t="shared" si="12"/>
        <v>7</v>
      </c>
      <c r="C263" s="29">
        <f t="shared" si="13"/>
        <v>3</v>
      </c>
      <c r="D263" s="29">
        <f t="shared" si="14"/>
        <v>2016</v>
      </c>
      <c r="E263" s="11">
        <v>93.7796315776</v>
      </c>
      <c r="F263" s="23">
        <v>13360</v>
      </c>
      <c r="G263" s="23">
        <v>12384</v>
      </c>
      <c r="H263" s="50">
        <v>8672</v>
      </c>
      <c r="I263" s="47">
        <v>1899</v>
      </c>
      <c r="J263" s="13">
        <v>132.13999999999999</v>
      </c>
      <c r="K263" s="42">
        <v>276.3</v>
      </c>
      <c r="L263" s="23">
        <v>44.651499999999999</v>
      </c>
      <c r="M263" s="30">
        <v>91.3</v>
      </c>
      <c r="N263" s="30">
        <v>3.8574285714285717</v>
      </c>
      <c r="O263" s="12">
        <v>1444.7495238095237</v>
      </c>
      <c r="P263" s="12">
        <v>1257.738095238095</v>
      </c>
      <c r="Q263" s="12">
        <v>5023.9889648500002</v>
      </c>
      <c r="R263" s="12">
        <v>2148.9019775500005</v>
      </c>
      <c r="S263" s="34">
        <v>0.17</v>
      </c>
      <c r="T263" s="42">
        <v>118.6</v>
      </c>
      <c r="U263" s="42">
        <v>119.7</v>
      </c>
      <c r="V263" s="42">
        <v>94.1</v>
      </c>
      <c r="W263" s="42">
        <v>128.5</v>
      </c>
      <c r="X263" s="23">
        <f>[1]ישיר!D252/1000</f>
        <v>13502.819</v>
      </c>
      <c r="Y263" s="23">
        <v>8201.9969999999994</v>
      </c>
      <c r="Z263" s="23">
        <f>[1]עקיף!H252</f>
        <v>1899</v>
      </c>
      <c r="AA263" s="23">
        <f>[1]עקיף!P252</f>
        <v>1673</v>
      </c>
      <c r="AB263" s="23">
        <f>[1]עקיף!Q252</f>
        <v>12244</v>
      </c>
      <c r="AC263" s="60">
        <f>[2]monthly!AY360</f>
        <v>3.9950022425834564E-2</v>
      </c>
      <c r="AD263" s="60">
        <f>[2]monthly!AZ360</f>
        <v>0.80245770990796439</v>
      </c>
      <c r="AE263" s="60">
        <f>[2]monthly!BA360</f>
        <v>0.77039950640135735</v>
      </c>
      <c r="AF263" s="79">
        <v>9422.6539755782305</v>
      </c>
      <c r="AG263" s="79">
        <v>3510.3031079303701</v>
      </c>
      <c r="AH263" s="64">
        <v>97392.620318999994</v>
      </c>
      <c r="AI263" s="4">
        <v>396.1</v>
      </c>
      <c r="AJ263" s="69">
        <v>276.3</v>
      </c>
      <c r="AK263" s="68">
        <v>75.8</v>
      </c>
      <c r="AL263" s="74">
        <v>76.506632768607531</v>
      </c>
      <c r="AM263" s="73">
        <v>32652</v>
      </c>
      <c r="AT263" s="68"/>
      <c r="AU263" s="68"/>
      <c r="AV263" s="68"/>
      <c r="AW263" s="68"/>
    </row>
    <row r="264" spans="1:49" ht="16.5" thickBot="1">
      <c r="A264" s="28">
        <v>42583</v>
      </c>
      <c r="B264" s="29">
        <f t="shared" si="12"/>
        <v>8</v>
      </c>
      <c r="C264" s="29">
        <f t="shared" si="13"/>
        <v>3</v>
      </c>
      <c r="D264" s="29">
        <f t="shared" si="14"/>
        <v>2016</v>
      </c>
      <c r="E264" s="11">
        <v>93.496878919599993</v>
      </c>
      <c r="F264" s="23">
        <v>11289</v>
      </c>
      <c r="G264" s="23">
        <v>10347</v>
      </c>
      <c r="H264" s="50">
        <v>6695</v>
      </c>
      <c r="I264" s="47">
        <v>1948</v>
      </c>
      <c r="J264" s="13">
        <v>133.56</v>
      </c>
      <c r="K264" s="42">
        <v>272.89999999999998</v>
      </c>
      <c r="L264" s="23">
        <v>44.724347826086962</v>
      </c>
      <c r="M264" s="30">
        <v>92.47</v>
      </c>
      <c r="N264" s="30">
        <v>3.795391304347826</v>
      </c>
      <c r="O264" s="12">
        <v>1462.0690909090908</v>
      </c>
      <c r="P264" s="12">
        <v>1282.3968181818182</v>
      </c>
      <c r="Q264" s="12">
        <v>5217.0383193478265</v>
      </c>
      <c r="R264" s="12">
        <v>2177.4821670869565</v>
      </c>
      <c r="S264" s="34">
        <v>0.17</v>
      </c>
      <c r="T264" s="42">
        <v>116.3</v>
      </c>
      <c r="U264" s="42">
        <v>118</v>
      </c>
      <c r="V264" s="42">
        <v>89.7</v>
      </c>
      <c r="W264" s="42">
        <v>121.3</v>
      </c>
      <c r="X264" s="23">
        <f>[1]ישיר!D253/1000</f>
        <v>11252.991</v>
      </c>
      <c r="Y264" s="23">
        <v>6767.9480000000003</v>
      </c>
      <c r="Z264" s="23">
        <f>[1]עקיף!H253</f>
        <v>1948</v>
      </c>
      <c r="AA264" s="23">
        <f>[1]עקיף!P253</f>
        <v>1641</v>
      </c>
      <c r="AB264" s="23">
        <f>[1]עקיף!Q253</f>
        <v>10284</v>
      </c>
      <c r="AC264" s="60">
        <f>[2]monthly!AY361</f>
        <v>4.1441152922337875E-2</v>
      </c>
      <c r="AD264" s="60">
        <f>[2]monthly!AZ361</f>
        <v>0.80193646146338959</v>
      </c>
      <c r="AE264" s="60">
        <f>[2]monthly!BA361</f>
        <v>0.76870328992988679</v>
      </c>
      <c r="AF264" s="79">
        <v>9454.9452061860611</v>
      </c>
      <c r="AG264" s="79">
        <v>3513.0489536062801</v>
      </c>
      <c r="AH264" s="64">
        <v>97625.998164999997</v>
      </c>
      <c r="AI264" s="4">
        <v>399.9</v>
      </c>
      <c r="AJ264" s="69">
        <v>272.8</v>
      </c>
      <c r="AK264" s="68">
        <v>75.099999999999994</v>
      </c>
      <c r="AL264" s="74">
        <v>76.446438331525286</v>
      </c>
      <c r="AM264" s="73">
        <v>36876</v>
      </c>
      <c r="AT264" s="68"/>
      <c r="AU264" s="68"/>
      <c r="AV264" s="68"/>
      <c r="AW264" s="68"/>
    </row>
    <row r="265" spans="1:49" ht="16.5" thickBot="1">
      <c r="A265" s="28">
        <v>42614</v>
      </c>
      <c r="B265" s="29">
        <f t="shared" si="12"/>
        <v>9</v>
      </c>
      <c r="C265" s="29">
        <f t="shared" si="13"/>
        <v>3</v>
      </c>
      <c r="D265" s="29">
        <f t="shared" si="14"/>
        <v>2016</v>
      </c>
      <c r="E265" s="11">
        <v>93.402628033599996</v>
      </c>
      <c r="F265" s="23">
        <v>12204</v>
      </c>
      <c r="G265" s="23">
        <v>12462</v>
      </c>
      <c r="H265" s="50">
        <v>9053</v>
      </c>
      <c r="I265" s="47">
        <v>1983</v>
      </c>
      <c r="J265" s="13">
        <v>130.52000000000001</v>
      </c>
      <c r="K265" s="42">
        <v>274.60000000000002</v>
      </c>
      <c r="L265" s="23">
        <v>45.146363636363645</v>
      </c>
      <c r="M265" s="30">
        <v>92.9</v>
      </c>
      <c r="N265" s="30">
        <v>3.7657272727272724</v>
      </c>
      <c r="O265" s="12">
        <v>1446.9723809523809</v>
      </c>
      <c r="P265" s="12">
        <v>1267.9285714285716</v>
      </c>
      <c r="Q265" s="12">
        <v>5254.154296857143</v>
      </c>
      <c r="R265" s="12">
        <v>2157.6909645238097</v>
      </c>
      <c r="S265" s="34">
        <v>0.17</v>
      </c>
      <c r="T265" s="42">
        <v>119.1</v>
      </c>
      <c r="U265" s="42">
        <v>121</v>
      </c>
      <c r="V265" s="42">
        <v>92.7</v>
      </c>
      <c r="W265" s="42">
        <v>130.69999999999999</v>
      </c>
      <c r="X265" s="23">
        <f>[1]ישיר!D254/1000</f>
        <v>12633.504000000001</v>
      </c>
      <c r="Y265" s="23">
        <v>7450.8059999999996</v>
      </c>
      <c r="Z265" s="23">
        <f>[1]עקיף!H254</f>
        <v>1983</v>
      </c>
      <c r="AA265" s="23">
        <f>[1]עקיף!P254</f>
        <v>1522</v>
      </c>
      <c r="AB265" s="23">
        <f>[1]עקיף!Q254</f>
        <v>12558</v>
      </c>
      <c r="AC265" s="60">
        <f>[2]monthly!AY362</f>
        <v>4.2860358187839627E-2</v>
      </c>
      <c r="AD265" s="60">
        <f>[2]monthly!AZ362</f>
        <v>0.79947046424348367</v>
      </c>
      <c r="AE265" s="60">
        <f>[2]monthly!BA362</f>
        <v>0.76520487378540958</v>
      </c>
      <c r="AF265" s="79">
        <v>9402.8773207382401</v>
      </c>
      <c r="AG265" s="79">
        <v>3560.3095034047301</v>
      </c>
      <c r="AH265" s="64">
        <v>98428.618797000003</v>
      </c>
      <c r="AI265" s="4">
        <v>404.2</v>
      </c>
      <c r="AJ265" s="69">
        <v>274.60000000000002</v>
      </c>
      <c r="AK265" s="68">
        <v>74.599999999999994</v>
      </c>
      <c r="AL265" s="74">
        <v>76.767540332730206</v>
      </c>
      <c r="AM265" s="73">
        <v>29520</v>
      </c>
      <c r="AT265" s="68"/>
      <c r="AU265" s="68"/>
      <c r="AV265" s="68"/>
      <c r="AW265" s="68"/>
    </row>
    <row r="266" spans="1:49" ht="16.5" thickBot="1">
      <c r="A266" s="28">
        <v>42644</v>
      </c>
      <c r="B266" s="29">
        <f t="shared" si="12"/>
        <v>10</v>
      </c>
      <c r="C266" s="29">
        <f t="shared" si="13"/>
        <v>4</v>
      </c>
      <c r="D266" s="29">
        <f t="shared" si="14"/>
        <v>2016</v>
      </c>
      <c r="E266" s="11">
        <v>93.591129805600005</v>
      </c>
      <c r="F266" s="23">
        <v>11714</v>
      </c>
      <c r="G266" s="23">
        <v>9665</v>
      </c>
      <c r="H266" s="50">
        <v>6886</v>
      </c>
      <c r="I266" s="47">
        <v>1236</v>
      </c>
      <c r="J266" s="13">
        <v>135.22</v>
      </c>
      <c r="K266" s="42">
        <v>273.3</v>
      </c>
      <c r="L266" s="23">
        <v>49.775238095238095</v>
      </c>
      <c r="M266" s="30">
        <v>93.47</v>
      </c>
      <c r="N266" s="30">
        <v>3.8217333333333339</v>
      </c>
      <c r="O266" s="12">
        <v>1427.6792307692308</v>
      </c>
      <c r="P266" s="12">
        <v>1251.0976923076926</v>
      </c>
      <c r="Q266" s="12">
        <v>5255.9895600952377</v>
      </c>
      <c r="R266" s="12">
        <v>2143.0209379047619</v>
      </c>
      <c r="S266" s="34">
        <v>0.17</v>
      </c>
      <c r="T266" s="42">
        <v>117.9</v>
      </c>
      <c r="U266" s="42">
        <v>119.8</v>
      </c>
      <c r="V266" s="42">
        <v>90.4</v>
      </c>
      <c r="W266" s="42">
        <v>126.1</v>
      </c>
      <c r="X266" s="23">
        <f>[1]ישיר!D255/1000</f>
        <v>7086.5649999999996</v>
      </c>
      <c r="Y266" s="23">
        <v>4260.7479999999996</v>
      </c>
      <c r="Z266" s="23">
        <f>[1]עקיף!H255</f>
        <v>1236</v>
      </c>
      <c r="AA266" s="23">
        <f>[1]עקיף!P255</f>
        <v>1554</v>
      </c>
      <c r="AB266" s="23">
        <f>[1]עקיף!Q255</f>
        <v>9676</v>
      </c>
      <c r="AC266" s="60">
        <f>[2]monthly!AY363</f>
        <v>3.9480003842336138E-2</v>
      </c>
      <c r="AD266" s="60">
        <f>[2]monthly!AZ363</f>
        <v>0.79891026296940548</v>
      </c>
      <c r="AE266" s="60">
        <f>[2]monthly!BA363</f>
        <v>0.76736928271769167</v>
      </c>
      <c r="AF266" s="79">
        <v>9564.8469472438064</v>
      </c>
      <c r="AG266" s="79">
        <v>3475.9841427214401</v>
      </c>
      <c r="AH266" s="64">
        <v>97962.721780000007</v>
      </c>
      <c r="AI266" s="4">
        <v>404.4</v>
      </c>
      <c r="AJ266" s="69">
        <v>273.3</v>
      </c>
      <c r="AK266" s="68">
        <v>73.400000000000006</v>
      </c>
      <c r="AL266" s="74">
        <v>76.752963349829031</v>
      </c>
      <c r="AM266" s="73">
        <v>28992</v>
      </c>
      <c r="AT266" s="68"/>
      <c r="AU266" s="68"/>
      <c r="AV266" s="68"/>
      <c r="AW266" s="68"/>
    </row>
    <row r="267" spans="1:49" ht="16.5" thickBot="1">
      <c r="A267" s="28">
        <v>42675</v>
      </c>
      <c r="B267" s="29">
        <f t="shared" si="12"/>
        <v>11</v>
      </c>
      <c r="C267" s="29">
        <f t="shared" si="13"/>
        <v>4</v>
      </c>
      <c r="D267" s="29">
        <f t="shared" si="14"/>
        <v>2016</v>
      </c>
      <c r="E267" s="11">
        <v>93.214126261499999</v>
      </c>
      <c r="F267" s="23">
        <v>11497</v>
      </c>
      <c r="G267" s="23">
        <v>11823</v>
      </c>
      <c r="H267" s="50">
        <v>8493</v>
      </c>
      <c r="I267" s="47">
        <v>1681</v>
      </c>
      <c r="J267" s="13">
        <v>136.13</v>
      </c>
      <c r="K267" s="42">
        <v>281</v>
      </c>
      <c r="L267" s="23">
        <v>45.709090909090911</v>
      </c>
      <c r="M267" s="30">
        <v>93.12</v>
      </c>
      <c r="N267" s="30">
        <v>3.8428636363636355</v>
      </c>
      <c r="O267" s="12">
        <v>1428.2372727272732</v>
      </c>
      <c r="P267" s="12">
        <v>1247.376818181818</v>
      </c>
      <c r="Q267" s="12">
        <v>5260.565243666666</v>
      </c>
      <c r="R267" s="12">
        <v>2164.9856887619048</v>
      </c>
      <c r="S267" s="34">
        <v>0.17</v>
      </c>
      <c r="T267" s="42">
        <v>118.2</v>
      </c>
      <c r="U267" s="42">
        <v>120.9</v>
      </c>
      <c r="V267" s="42">
        <v>93.1</v>
      </c>
      <c r="W267" s="42">
        <v>127.4</v>
      </c>
      <c r="X267" s="23">
        <f>[1]ישיר!D256/1000</f>
        <v>15871.018</v>
      </c>
      <c r="Y267" s="23">
        <v>10044.728999999999</v>
      </c>
      <c r="Z267" s="23">
        <f>[1]עקיף!H256</f>
        <v>1681</v>
      </c>
      <c r="AA267" s="23">
        <f>[1]עקיף!P256</f>
        <v>1481</v>
      </c>
      <c r="AB267" s="23">
        <f>[1]עקיף!Q256</f>
        <v>11655</v>
      </c>
      <c r="AC267" s="60">
        <f>[2]monthly!AY364</f>
        <v>3.9037690457097034E-2</v>
      </c>
      <c r="AD267" s="60">
        <f>[2]monthly!AZ364</f>
        <v>0.79892878193793082</v>
      </c>
      <c r="AE267" s="60">
        <f>[2]monthly!BA364</f>
        <v>0.76774044745137238</v>
      </c>
      <c r="AF267" s="79">
        <v>9589.1060539428981</v>
      </c>
      <c r="AG267" s="79">
        <v>3536.8798315925901</v>
      </c>
      <c r="AH267" s="64">
        <v>97126.751369999998</v>
      </c>
      <c r="AI267" s="4">
        <v>402.8</v>
      </c>
      <c r="AJ267" s="69">
        <v>281</v>
      </c>
      <c r="AK267" s="68">
        <v>76.3</v>
      </c>
      <c r="AL267" s="74">
        <v>77.108273337003396</v>
      </c>
      <c r="AM267" s="73">
        <v>28596</v>
      </c>
      <c r="AT267" s="68"/>
      <c r="AU267" s="68"/>
      <c r="AV267" s="68"/>
      <c r="AW267" s="68"/>
    </row>
    <row r="268" spans="1:49" ht="16.5" thickBot="1">
      <c r="A268" s="28">
        <v>42705</v>
      </c>
      <c r="B268" s="29">
        <f t="shared" si="12"/>
        <v>12</v>
      </c>
      <c r="C268" s="29">
        <f t="shared" si="13"/>
        <v>4</v>
      </c>
      <c r="D268" s="29">
        <f t="shared" si="14"/>
        <v>2016</v>
      </c>
      <c r="E268" s="11">
        <v>93.214126261499999</v>
      </c>
      <c r="F268" s="23">
        <v>10272</v>
      </c>
      <c r="G268" s="23">
        <v>10285</v>
      </c>
      <c r="H268" s="50">
        <v>5407</v>
      </c>
      <c r="I268" s="47">
        <v>3494</v>
      </c>
      <c r="J268" s="13">
        <v>134.30000000000001</v>
      </c>
      <c r="K268" s="42">
        <v>282.5</v>
      </c>
      <c r="L268" s="23">
        <v>51.970476190476198</v>
      </c>
      <c r="M268" s="30">
        <v>93.79</v>
      </c>
      <c r="N268" s="30">
        <v>3.8283809523809516</v>
      </c>
      <c r="O268" s="12">
        <v>1457.1842857142856</v>
      </c>
      <c r="P268" s="12">
        <v>1272.8614285714286</v>
      </c>
      <c r="Q268" s="12">
        <v>5413.116658285714</v>
      </c>
      <c r="R268" s="12">
        <v>2246.6290521904762</v>
      </c>
      <c r="S268" s="34">
        <v>0.17</v>
      </c>
      <c r="T268" s="42">
        <v>120.4</v>
      </c>
      <c r="U268" s="42">
        <v>122.6</v>
      </c>
      <c r="V268" s="42">
        <v>93.3</v>
      </c>
      <c r="W268" s="42">
        <v>126.1</v>
      </c>
      <c r="X268" s="23">
        <f>[1]ישיר!D257/1000</f>
        <v>11398.069</v>
      </c>
      <c r="Y268" s="23">
        <v>6732.1589999999997</v>
      </c>
      <c r="Z268" s="23">
        <f>[1]עקיף!H257</f>
        <v>3494</v>
      </c>
      <c r="AA268" s="23">
        <f>[1]עקיף!P257</f>
        <v>1558</v>
      </c>
      <c r="AB268" s="23">
        <f>[1]עקיף!Q257</f>
        <v>10459</v>
      </c>
      <c r="AC268" s="60">
        <f>[2]monthly!AY365</f>
        <v>3.8742315573770496E-2</v>
      </c>
      <c r="AD268" s="60">
        <f>[2]monthly!AZ365</f>
        <v>0.80030749519538757</v>
      </c>
      <c r="AE268" s="60">
        <f>[2]monthly!BA365</f>
        <v>0.76930172966047405</v>
      </c>
      <c r="AF268" s="79">
        <v>9501.5098396831418</v>
      </c>
      <c r="AG268" s="79">
        <v>3539.0851795021599</v>
      </c>
      <c r="AH268" s="64">
        <v>98447</v>
      </c>
      <c r="AI268" s="4">
        <v>402.1</v>
      </c>
      <c r="AJ268" s="69">
        <v>282.39999999999998</v>
      </c>
      <c r="AK268" s="68">
        <v>76.8</v>
      </c>
      <c r="AL268" s="74">
        <v>77.378965229707532</v>
      </c>
      <c r="AM268" s="73">
        <v>27540</v>
      </c>
      <c r="AT268" s="68"/>
      <c r="AU268" s="68"/>
      <c r="AV268" s="68"/>
      <c r="AW268" s="68"/>
    </row>
    <row r="269" spans="1:49" ht="16.5" thickBot="1">
      <c r="A269" s="28">
        <v>42736</v>
      </c>
      <c r="B269" s="29">
        <f t="shared" si="12"/>
        <v>1</v>
      </c>
      <c r="C269" s="29">
        <f t="shared" si="13"/>
        <v>1</v>
      </c>
      <c r="D269" s="29">
        <f t="shared" si="14"/>
        <v>2017</v>
      </c>
      <c r="E269" s="11">
        <v>93.027698009000005</v>
      </c>
      <c r="F269" s="20">
        <v>15855</v>
      </c>
      <c r="G269" s="20">
        <v>11925</v>
      </c>
      <c r="H269" s="50">
        <v>9280</v>
      </c>
      <c r="I269" s="47">
        <v>1376</v>
      </c>
      <c r="J269" s="13">
        <v>133.18</v>
      </c>
      <c r="K269" s="42">
        <v>284.89999999999998</v>
      </c>
      <c r="L269" s="23">
        <v>52.508500000000005</v>
      </c>
      <c r="M269" s="30">
        <v>95.24</v>
      </c>
      <c r="N269" s="30">
        <v>3.8181904761904764</v>
      </c>
      <c r="O269" s="12">
        <v>1441.2991304347825</v>
      </c>
      <c r="P269" s="12">
        <v>1264.2260869565221</v>
      </c>
      <c r="Q269" s="12">
        <v>5561.4234999999999</v>
      </c>
      <c r="R269" s="12">
        <v>2275.1160000000004</v>
      </c>
      <c r="S269" s="34">
        <v>0.17</v>
      </c>
      <c r="T269" s="42">
        <v>119.8</v>
      </c>
      <c r="U269" s="42">
        <v>122.4</v>
      </c>
      <c r="V269" s="42">
        <v>92.8</v>
      </c>
      <c r="W269" s="42">
        <v>131.9</v>
      </c>
      <c r="X269" s="23">
        <f>[1]ישיר!D258/1000</f>
        <v>16618.041000000001</v>
      </c>
      <c r="Y269" s="23">
        <v>8377.4599999999991</v>
      </c>
      <c r="Z269" s="23">
        <f>[1]עקיף!H258</f>
        <v>1376</v>
      </c>
      <c r="AA269" s="23">
        <f>[1]עקיף!P258</f>
        <v>1502</v>
      </c>
      <c r="AB269" s="23">
        <f>[1]עקיף!Q258</f>
        <v>12158</v>
      </c>
      <c r="AC269" s="60">
        <f>[2]monthly!AY366</f>
        <v>3.8781517982849102E-2</v>
      </c>
      <c r="AD269" s="60">
        <f>[2]monthly!AZ366</f>
        <v>0.79909995141783219</v>
      </c>
      <c r="AE269" s="60">
        <f>[2]monthly!BA366</f>
        <v>0.76810964228182765</v>
      </c>
      <c r="AF269" s="82">
        <v>9491.9897498011596</v>
      </c>
      <c r="AG269" s="80">
        <v>3562.1956077237196</v>
      </c>
      <c r="AH269" s="64">
        <v>101613</v>
      </c>
      <c r="AI269" s="4">
        <v>402.8</v>
      </c>
      <c r="AJ269" s="69">
        <v>284.89999999999998</v>
      </c>
      <c r="AK269" s="68">
        <v>77.400000000000006</v>
      </c>
      <c r="AL269" s="74">
        <v>77.555769470661488</v>
      </c>
      <c r="AM269" s="73">
        <v>25104</v>
      </c>
      <c r="AT269" s="68"/>
      <c r="AU269" s="68"/>
      <c r="AV269" s="68"/>
      <c r="AW269" s="68"/>
    </row>
    <row r="270" spans="1:49" ht="16.5" thickBot="1">
      <c r="A270" s="28">
        <v>42767</v>
      </c>
      <c r="B270" s="29">
        <f t="shared" si="12"/>
        <v>2</v>
      </c>
      <c r="C270" s="29">
        <f t="shared" si="13"/>
        <v>1</v>
      </c>
      <c r="D270" s="29">
        <f t="shared" si="14"/>
        <v>2017</v>
      </c>
      <c r="E270" s="11">
        <v>93.027698009000005</v>
      </c>
      <c r="F270" s="20">
        <v>13026</v>
      </c>
      <c r="G270" s="20">
        <v>9717</v>
      </c>
      <c r="H270" s="50">
        <v>6756</v>
      </c>
      <c r="I270" s="47">
        <v>1280</v>
      </c>
      <c r="J270" s="13">
        <v>135.66</v>
      </c>
      <c r="K270" s="42">
        <v>287.60000000000002</v>
      </c>
      <c r="L270" s="23">
        <v>53.46842105263157</v>
      </c>
      <c r="M270" s="30">
        <v>95.04</v>
      </c>
      <c r="N270" s="30">
        <v>3.72905</v>
      </c>
      <c r="O270" s="12">
        <v>1434.3510000000001</v>
      </c>
      <c r="P270" s="12">
        <v>1271.2570000000001</v>
      </c>
      <c r="Q270" s="12">
        <v>5764.1757894736829</v>
      </c>
      <c r="R270" s="12">
        <v>2329.9105263157894</v>
      </c>
      <c r="S270" s="34">
        <v>0.17</v>
      </c>
      <c r="T270" s="42">
        <v>120.4</v>
      </c>
      <c r="U270" s="42">
        <v>123.1</v>
      </c>
      <c r="V270" s="42">
        <v>93.8</v>
      </c>
      <c r="W270" s="42">
        <v>131</v>
      </c>
      <c r="X270" s="23">
        <f>[1]ישיר!D259/1000</f>
        <v>12779.29</v>
      </c>
      <c r="Y270" s="23">
        <v>7528.2749999999996</v>
      </c>
      <c r="Z270" s="23">
        <f>[1]עקיף!H259</f>
        <v>1280</v>
      </c>
      <c r="AA270" s="23">
        <f>[1]עקיף!P259</f>
        <v>1437.0807453416148</v>
      </c>
      <c r="AB270" s="23">
        <f>[1]עקיף!Q259</f>
        <v>9473.0807453416146</v>
      </c>
      <c r="AC270" s="60">
        <f>[2]monthly!AY367</f>
        <v>3.7681713848508033E-2</v>
      </c>
      <c r="AD270" s="60">
        <f>[2]monthly!AZ367</f>
        <v>0.79951062853647348</v>
      </c>
      <c r="AE270" s="60">
        <f>[2]monthly!BA367</f>
        <v>0.76938369781312121</v>
      </c>
      <c r="AF270" s="82">
        <v>9602.7391870428546</v>
      </c>
      <c r="AG270" s="80">
        <v>3566.6437086206602</v>
      </c>
      <c r="AH270" s="64">
        <v>102022</v>
      </c>
      <c r="AI270" s="4">
        <v>404.9</v>
      </c>
      <c r="AJ270" s="69">
        <v>287.3</v>
      </c>
      <c r="AK270" s="68">
        <v>75</v>
      </c>
      <c r="AL270" s="74">
        <v>77.661895029432287</v>
      </c>
      <c r="AM270" s="73">
        <v>24720</v>
      </c>
      <c r="AT270" s="68"/>
      <c r="AU270" s="68"/>
      <c r="AV270" s="68"/>
      <c r="AW270" s="68"/>
    </row>
    <row r="271" spans="1:49" ht="16.5" thickBot="1">
      <c r="A271" s="28">
        <v>42795</v>
      </c>
      <c r="B271" s="29">
        <f t="shared" si="12"/>
        <v>3</v>
      </c>
      <c r="C271" s="29">
        <f t="shared" si="13"/>
        <v>1</v>
      </c>
      <c r="D271" s="29">
        <f t="shared" si="14"/>
        <v>2017</v>
      </c>
      <c r="E271" s="11">
        <v>93.307340387799997</v>
      </c>
      <c r="F271" s="20">
        <v>12370</v>
      </c>
      <c r="G271" s="20">
        <v>11553</v>
      </c>
      <c r="H271" s="50">
        <v>8021</v>
      </c>
      <c r="I271" s="47">
        <v>1878</v>
      </c>
      <c r="J271" s="13">
        <v>136.9</v>
      </c>
      <c r="K271" s="42">
        <v>289.2</v>
      </c>
      <c r="L271" s="23">
        <v>49.327826086956513</v>
      </c>
      <c r="M271" s="30">
        <v>96.33</v>
      </c>
      <c r="N271" s="30">
        <v>3.6493181818181815</v>
      </c>
      <c r="O271" s="12">
        <v>1423.3176190476192</v>
      </c>
      <c r="P271" s="12">
        <v>1270.1514285714284</v>
      </c>
      <c r="Q271" s="12">
        <v>5864.9643478260869</v>
      </c>
      <c r="R271" s="12">
        <v>2366.8221739130431</v>
      </c>
      <c r="S271" s="34">
        <v>0.17</v>
      </c>
      <c r="T271" s="42">
        <v>122.4</v>
      </c>
      <c r="U271" s="42">
        <v>124</v>
      </c>
      <c r="V271" s="42">
        <v>93.6</v>
      </c>
      <c r="W271" s="42">
        <v>128.80000000000001</v>
      </c>
      <c r="X271" s="23">
        <f>[1]ישיר!D260/1000</f>
        <v>12810.83</v>
      </c>
      <c r="Y271" s="23">
        <v>7867.1880000000001</v>
      </c>
      <c r="Z271" s="23">
        <f>[1]עקיף!H260</f>
        <v>1878</v>
      </c>
      <c r="AA271" s="23">
        <f>[1]עקיף!P260</f>
        <v>1655</v>
      </c>
      <c r="AB271" s="23">
        <f>[1]עקיף!Q260</f>
        <v>11554</v>
      </c>
      <c r="AC271" s="60">
        <f>[2]monthly!AY368</f>
        <v>3.8423582593193902E-2</v>
      </c>
      <c r="AD271" s="60">
        <f>[2]monthly!AZ368</f>
        <v>0.7991706311852852</v>
      </c>
      <c r="AE271" s="60">
        <f>[2]monthly!BA368</f>
        <v>0.76846363243188243</v>
      </c>
      <c r="AF271" s="82">
        <v>9575.4809106997036</v>
      </c>
      <c r="AG271" s="80">
        <v>3576.80407477565</v>
      </c>
      <c r="AH271" s="64">
        <v>103174</v>
      </c>
      <c r="AI271" s="4">
        <v>406.8</v>
      </c>
      <c r="AJ271" s="69">
        <v>289.10000000000002</v>
      </c>
      <c r="AK271" s="68">
        <v>78</v>
      </c>
      <c r="AL271" s="74">
        <v>78.216252520180419</v>
      </c>
      <c r="AM271" s="73">
        <v>25488</v>
      </c>
      <c r="AT271" s="68"/>
      <c r="AU271" s="68"/>
      <c r="AV271" s="68"/>
      <c r="AW271" s="68"/>
    </row>
    <row r="272" spans="1:49" ht="16.5" thickBot="1">
      <c r="A272" s="28">
        <v>42826</v>
      </c>
      <c r="B272" s="29">
        <f t="shared" si="12"/>
        <v>4</v>
      </c>
      <c r="C272" s="29">
        <f t="shared" si="13"/>
        <v>2</v>
      </c>
      <c r="D272" s="29">
        <f t="shared" si="14"/>
        <v>2017</v>
      </c>
      <c r="E272" s="11">
        <v>93.493768640300004</v>
      </c>
      <c r="F272" s="20">
        <v>13147</v>
      </c>
      <c r="G272" s="20">
        <v>10491</v>
      </c>
      <c r="H272" s="50">
        <v>7465</v>
      </c>
      <c r="I272" s="47">
        <v>1541</v>
      </c>
      <c r="J272" s="13">
        <v>136.32</v>
      </c>
      <c r="K272" s="42">
        <v>294.3</v>
      </c>
      <c r="L272" s="23">
        <v>51.060526315789481</v>
      </c>
      <c r="M272" s="30">
        <v>98.27</v>
      </c>
      <c r="N272" s="30">
        <v>3.6496875000000002</v>
      </c>
      <c r="O272" s="12">
        <v>1396.0017647058824</v>
      </c>
      <c r="P272" s="12">
        <v>1259.2329411764708</v>
      </c>
      <c r="Q272" s="12">
        <v>5912.1694736315803</v>
      </c>
      <c r="R272" s="12">
        <v>2359.3094576842109</v>
      </c>
      <c r="S272" s="34">
        <v>0.17</v>
      </c>
      <c r="T272" s="42">
        <v>122.9</v>
      </c>
      <c r="U272" s="42">
        <v>125.1</v>
      </c>
      <c r="V272" s="42">
        <v>95.5</v>
      </c>
      <c r="W272" s="42">
        <v>132.4</v>
      </c>
      <c r="X272" s="23">
        <f>[1]ישיר!D261/1000</f>
        <v>13085.28</v>
      </c>
      <c r="Y272" s="23">
        <v>8646.4150000000009</v>
      </c>
      <c r="Z272" s="23">
        <f>[1]עקיף!H261</f>
        <v>1541</v>
      </c>
      <c r="AA272" s="23">
        <f>[1]עקיף!P261</f>
        <v>1572</v>
      </c>
      <c r="AB272" s="23">
        <f>[1]עקיף!Q261</f>
        <v>10578</v>
      </c>
      <c r="AC272" s="60">
        <f>[2]monthly!AY369</f>
        <v>3.8151207115628971E-2</v>
      </c>
      <c r="AD272" s="60">
        <f>[2]monthly!AZ369</f>
        <v>0.80018301517500823</v>
      </c>
      <c r="AE272" s="60">
        <f>[2]monthly!BA369</f>
        <v>0.76968048600696481</v>
      </c>
      <c r="AF272" s="82">
        <v>9638.4869011883911</v>
      </c>
      <c r="AG272" s="80">
        <v>3566.4343800331599</v>
      </c>
      <c r="AH272" s="64">
        <v>105142</v>
      </c>
      <c r="AI272" s="4">
        <v>407.7</v>
      </c>
      <c r="AJ272" s="69">
        <v>294.2</v>
      </c>
      <c r="AK272" s="68">
        <v>78.8</v>
      </c>
      <c r="AL272" s="74">
        <v>78.602142785352683</v>
      </c>
      <c r="AM272" s="73">
        <v>27324</v>
      </c>
      <c r="AT272" s="68"/>
      <c r="AU272" s="68"/>
      <c r="AV272" s="68"/>
      <c r="AW272" s="68"/>
    </row>
    <row r="273" spans="1:49" ht="16.5" thickBot="1">
      <c r="A273" s="28">
        <v>42856</v>
      </c>
      <c r="B273" s="29">
        <f t="shared" si="12"/>
        <v>5</v>
      </c>
      <c r="C273" s="29">
        <f t="shared" si="13"/>
        <v>2</v>
      </c>
      <c r="D273" s="29">
        <f t="shared" si="14"/>
        <v>2017</v>
      </c>
      <c r="E273" s="11">
        <v>93.866625145399993</v>
      </c>
      <c r="F273" s="20">
        <v>13694</v>
      </c>
      <c r="G273" s="20">
        <v>11711</v>
      </c>
      <c r="H273" s="50">
        <v>8294</v>
      </c>
      <c r="I273" s="47">
        <v>1833</v>
      </c>
      <c r="J273" s="13">
        <v>138.87</v>
      </c>
      <c r="K273" s="42">
        <v>287.10000000000002</v>
      </c>
      <c r="L273" s="23">
        <v>48.476363636363637</v>
      </c>
      <c r="M273" s="30">
        <v>97.66</v>
      </c>
      <c r="N273" s="30">
        <v>3.5974210526315789</v>
      </c>
      <c r="O273" s="12">
        <v>1421.2547368421051</v>
      </c>
      <c r="P273" s="12">
        <v>1293.6715789473683</v>
      </c>
      <c r="Q273" s="12">
        <v>6124.8781738636371</v>
      </c>
      <c r="R273" s="12">
        <v>2395.345880681818</v>
      </c>
      <c r="S273" s="34">
        <v>0.17</v>
      </c>
      <c r="T273" s="42">
        <v>120.9</v>
      </c>
      <c r="U273" s="42">
        <v>122.9</v>
      </c>
      <c r="V273" s="42">
        <v>90.1</v>
      </c>
      <c r="W273" s="42">
        <v>133.6</v>
      </c>
      <c r="X273" s="23">
        <f>[1]ישיר!D262/1000</f>
        <v>13653.739</v>
      </c>
      <c r="Y273" s="23">
        <v>8099.009</v>
      </c>
      <c r="Z273" s="23">
        <f>[1]עקיף!H262</f>
        <v>1833</v>
      </c>
      <c r="AA273" s="23">
        <f>[1]עקיף!P262</f>
        <v>1510</v>
      </c>
      <c r="AB273" s="23">
        <f>[1]עקיף!Q262</f>
        <v>11637</v>
      </c>
      <c r="AC273" s="60">
        <f>[2]monthly!AY370</f>
        <v>3.8505455468155293E-2</v>
      </c>
      <c r="AD273" s="60">
        <f>[2]monthly!AZ370</f>
        <v>0.80246379393723433</v>
      </c>
      <c r="AE273" s="60">
        <f>[2]monthly!BA370</f>
        <v>0.7715645600549772</v>
      </c>
      <c r="AF273" s="82">
        <v>9756.631181360337</v>
      </c>
      <c r="AG273" s="80">
        <v>3581.9892753957902</v>
      </c>
      <c r="AH273" s="64">
        <v>107367</v>
      </c>
      <c r="AI273" s="4">
        <v>409.5</v>
      </c>
      <c r="AJ273" s="69">
        <v>287</v>
      </c>
      <c r="AK273" s="68">
        <v>77.3</v>
      </c>
      <c r="AL273" s="74">
        <v>78.820499216449008</v>
      </c>
      <c r="AM273" s="73">
        <v>27468</v>
      </c>
      <c r="AT273" s="68"/>
      <c r="AU273" s="68"/>
      <c r="AV273" s="68"/>
      <c r="AW273" s="68"/>
    </row>
    <row r="274" spans="1:49" ht="16.5" thickBot="1">
      <c r="A274" s="28">
        <v>42887</v>
      </c>
      <c r="B274" s="29">
        <f t="shared" si="12"/>
        <v>6</v>
      </c>
      <c r="C274" s="29">
        <f t="shared" si="13"/>
        <v>2</v>
      </c>
      <c r="D274" s="29">
        <f t="shared" si="14"/>
        <v>2017</v>
      </c>
      <c r="E274" s="11">
        <v>93.214126261499999</v>
      </c>
      <c r="F274" s="20">
        <v>12556</v>
      </c>
      <c r="G274" s="20">
        <v>9084</v>
      </c>
      <c r="H274" s="50">
        <v>5643</v>
      </c>
      <c r="I274" s="47">
        <v>1529</v>
      </c>
      <c r="J274" s="13">
        <v>137.15</v>
      </c>
      <c r="K274" s="42">
        <v>297.60000000000002</v>
      </c>
      <c r="L274" s="23">
        <v>45.177727272727275</v>
      </c>
      <c r="M274" s="30">
        <v>98.56</v>
      </c>
      <c r="N274" s="30">
        <v>3.531863636363636</v>
      </c>
      <c r="O274" s="12">
        <v>1431.104761904762</v>
      </c>
      <c r="P274" s="12">
        <v>1292.6442857142858</v>
      </c>
      <c r="Q274" s="12">
        <v>6228.2795061904772</v>
      </c>
      <c r="R274" s="12">
        <v>2434.4890485714286</v>
      </c>
      <c r="S274" s="34">
        <v>0.17</v>
      </c>
      <c r="T274" s="42">
        <v>123</v>
      </c>
      <c r="U274" s="42">
        <v>124.3</v>
      </c>
      <c r="V274" s="42">
        <v>94.7</v>
      </c>
      <c r="W274" s="42">
        <v>132.5</v>
      </c>
      <c r="X274" s="23">
        <f>[1]ישיר!D263/1000</f>
        <v>12634.812</v>
      </c>
      <c r="Y274" s="23">
        <v>7441.2309999999998</v>
      </c>
      <c r="Z274" s="23">
        <f>[1]עקיף!H263</f>
        <v>1529</v>
      </c>
      <c r="AA274" s="23">
        <f>[1]עקיף!P263</f>
        <v>1751</v>
      </c>
      <c r="AB274" s="23">
        <f>[1]עקיף!Q263</f>
        <v>8923</v>
      </c>
      <c r="AC274" s="60">
        <f>[2]monthly!AY371</f>
        <v>3.8056448276959302E-2</v>
      </c>
      <c r="AD274" s="60">
        <f>[2]monthly!AZ371</f>
        <v>0.79946578478758579</v>
      </c>
      <c r="AE274" s="60">
        <f>[2]monthly!BA371</f>
        <v>0.76904095649961834</v>
      </c>
      <c r="AF274" s="82">
        <v>9681.8997548761072</v>
      </c>
      <c r="AG274" s="80">
        <v>3584.5482224644702</v>
      </c>
      <c r="AH274" s="64">
        <v>108706</v>
      </c>
      <c r="AI274" s="4">
        <v>412.8</v>
      </c>
      <c r="AJ274" s="69">
        <v>297.5</v>
      </c>
      <c r="AK274" s="68">
        <v>77.5</v>
      </c>
      <c r="AL274" s="74">
        <v>79.066622123784427</v>
      </c>
      <c r="AM274" s="73">
        <v>29688</v>
      </c>
      <c r="AT274" s="68"/>
      <c r="AU274" s="68"/>
      <c r="AV274" s="68"/>
      <c r="AW274" s="68"/>
    </row>
    <row r="275" spans="1:49" ht="16.5" thickBot="1">
      <c r="A275" s="28">
        <v>42917</v>
      </c>
      <c r="B275" s="29">
        <f t="shared" si="12"/>
        <v>7</v>
      </c>
      <c r="C275" s="29">
        <f t="shared" si="13"/>
        <v>3</v>
      </c>
      <c r="D275" s="29">
        <f t="shared" si="14"/>
        <v>2017</v>
      </c>
      <c r="E275" s="11">
        <v>93.120912135300003</v>
      </c>
      <c r="F275" s="20">
        <v>14235</v>
      </c>
      <c r="G275" s="20">
        <v>13266</v>
      </c>
      <c r="H275" s="50">
        <v>9502</v>
      </c>
      <c r="I275" s="47">
        <v>2013</v>
      </c>
      <c r="J275" s="13">
        <v>138.47999999999999</v>
      </c>
      <c r="K275" s="42">
        <v>297.5</v>
      </c>
      <c r="L275" s="23">
        <v>46.600000000000009</v>
      </c>
      <c r="M275" s="30">
        <v>98.72</v>
      </c>
      <c r="N275" s="30">
        <v>3.5509047619047616</v>
      </c>
      <c r="O275" s="12">
        <v>1446.224545454545</v>
      </c>
      <c r="P275" s="12">
        <v>1301.0954545454542</v>
      </c>
      <c r="Q275" s="12">
        <v>6294.6740234999997</v>
      </c>
      <c r="R275" s="12">
        <v>2454.1025024999999</v>
      </c>
      <c r="S275" s="34">
        <v>0.17</v>
      </c>
      <c r="T275" s="42">
        <v>123.4</v>
      </c>
      <c r="U275" s="42">
        <v>124.8</v>
      </c>
      <c r="V275" s="42">
        <v>94.5</v>
      </c>
      <c r="W275" s="42">
        <v>134.19999999999999</v>
      </c>
      <c r="X275" s="23">
        <f>[1]ישיר!D264/1000</f>
        <v>14532.578</v>
      </c>
      <c r="Y275" s="23">
        <v>8876.94</v>
      </c>
      <c r="Z275" s="23">
        <f>[1]עקיף!H264</f>
        <v>2013</v>
      </c>
      <c r="AA275" s="23">
        <f>[1]עקיף!P264</f>
        <v>1812</v>
      </c>
      <c r="AB275" s="23">
        <f>[1]עקיף!Q264</f>
        <v>13327</v>
      </c>
      <c r="AC275" s="60">
        <f>[2]monthly!AY372</f>
        <v>3.5971223021582732E-2</v>
      </c>
      <c r="AD275" s="60">
        <f>[2]monthly!AZ372</f>
        <v>0.80032974001268231</v>
      </c>
      <c r="AE275" s="60">
        <f>[2]monthly!BA372</f>
        <v>0.77154090044388079</v>
      </c>
      <c r="AF275" s="82">
        <v>9727.871784199433</v>
      </c>
      <c r="AG275" s="80">
        <v>3592.4667168711803</v>
      </c>
      <c r="AH275" s="64">
        <v>110110</v>
      </c>
      <c r="AI275" s="4">
        <v>414.3</v>
      </c>
      <c r="AJ275" s="69">
        <v>297.5</v>
      </c>
      <c r="AK275" s="68">
        <v>77.599999999999994</v>
      </c>
      <c r="AL275" s="74">
        <v>79.133428866427607</v>
      </c>
      <c r="AM275" s="73">
        <v>29868</v>
      </c>
      <c r="AT275" s="68"/>
      <c r="AU275" s="68"/>
      <c r="AV275" s="68"/>
      <c r="AW275" s="68"/>
    </row>
    <row r="276" spans="1:49" ht="16.5" thickBot="1">
      <c r="A276" s="28">
        <v>42948</v>
      </c>
      <c r="B276" s="29">
        <f t="shared" si="12"/>
        <v>8</v>
      </c>
      <c r="C276" s="29">
        <f t="shared" si="13"/>
        <v>3</v>
      </c>
      <c r="D276" s="29">
        <f t="shared" si="14"/>
        <v>2017</v>
      </c>
      <c r="E276" s="11">
        <v>93.400554514099994</v>
      </c>
      <c r="F276" s="20">
        <v>16520</v>
      </c>
      <c r="G276" s="20">
        <v>10604</v>
      </c>
      <c r="H276" s="50">
        <v>7025</v>
      </c>
      <c r="I276" s="47">
        <v>1717</v>
      </c>
      <c r="J276" s="13">
        <v>138.29</v>
      </c>
      <c r="K276" s="42">
        <v>300.5</v>
      </c>
      <c r="L276" s="23">
        <v>48.036956521739135</v>
      </c>
      <c r="M276" s="30">
        <v>97.23</v>
      </c>
      <c r="N276" s="30">
        <v>3.601136363636364</v>
      </c>
      <c r="O276" s="12">
        <v>1393.8645454545454</v>
      </c>
      <c r="P276" s="12">
        <v>1261.0881818181817</v>
      </c>
      <c r="Q276" s="12">
        <v>6307.1300102173918</v>
      </c>
      <c r="R276" s="12">
        <v>2455.2639372608687</v>
      </c>
      <c r="S276" s="34">
        <v>0.17</v>
      </c>
      <c r="T276" s="42">
        <v>126</v>
      </c>
      <c r="U276" s="42">
        <v>127.2</v>
      </c>
      <c r="V276" s="42">
        <v>94.1</v>
      </c>
      <c r="W276" s="42">
        <v>136.6</v>
      </c>
      <c r="X276" s="23">
        <f>[1]ישיר!D265/1000</f>
        <v>15341.695</v>
      </c>
      <c r="Y276" s="23">
        <v>8324.1029999999992</v>
      </c>
      <c r="Z276" s="23">
        <f>[1]עקיף!H265</f>
        <v>1717</v>
      </c>
      <c r="AA276" s="23">
        <f>[1]עקיף!P265</f>
        <v>1744</v>
      </c>
      <c r="AB276" s="23">
        <f>[1]עקיף!Q265</f>
        <v>10486</v>
      </c>
      <c r="AC276" s="60">
        <f>[2]monthly!AY373</f>
        <v>3.5768887756402093E-2</v>
      </c>
      <c r="AD276" s="60">
        <f>[2]monthly!AZ373</f>
        <v>0.79455382902262484</v>
      </c>
      <c r="AE276" s="60">
        <f>[2]monthly!BA373</f>
        <v>0.76613352229589515</v>
      </c>
      <c r="AF276" s="82">
        <v>9786.937995692766</v>
      </c>
      <c r="AG276" s="80">
        <v>3592.4423976305798</v>
      </c>
      <c r="AH276" s="64">
        <v>111020</v>
      </c>
      <c r="AI276" s="4">
        <v>415.9</v>
      </c>
      <c r="AJ276" s="69">
        <v>300.5</v>
      </c>
      <c r="AK276" s="68">
        <v>76.599999999999994</v>
      </c>
      <c r="AL276" s="74">
        <v>79.459527163027332</v>
      </c>
      <c r="AM276" s="73">
        <v>29748</v>
      </c>
      <c r="AT276" s="68"/>
      <c r="AU276" s="68"/>
      <c r="AV276" s="68"/>
      <c r="AW276" s="68"/>
    </row>
    <row r="277" spans="1:49" ht="16.5" thickBot="1">
      <c r="A277" s="28">
        <v>42979</v>
      </c>
      <c r="B277" s="29">
        <f t="shared" si="12"/>
        <v>9</v>
      </c>
      <c r="C277" s="29">
        <f t="shared" si="13"/>
        <v>3</v>
      </c>
      <c r="D277" s="29">
        <f t="shared" si="14"/>
        <v>2017</v>
      </c>
      <c r="E277" s="11">
        <v>93.493768640300004</v>
      </c>
      <c r="F277" s="20">
        <v>16618</v>
      </c>
      <c r="G277" s="20">
        <v>12406</v>
      </c>
      <c r="H277" s="50">
        <v>9511</v>
      </c>
      <c r="I277" s="47">
        <v>1391</v>
      </c>
      <c r="J277" s="13">
        <v>137.53</v>
      </c>
      <c r="K277" s="42">
        <v>301.10000000000002</v>
      </c>
      <c r="L277" s="23">
        <v>49.822000000000003</v>
      </c>
      <c r="M277" s="30">
        <v>94.78</v>
      </c>
      <c r="N277" s="30">
        <v>3.5373529411764708</v>
      </c>
      <c r="O277" s="12">
        <v>1407.5094444444449</v>
      </c>
      <c r="P277" s="12">
        <v>1279.6677777777777</v>
      </c>
      <c r="Q277" s="12">
        <v>6428.0790009499997</v>
      </c>
      <c r="R277" s="12">
        <v>2492.8410126999997</v>
      </c>
      <c r="S277" s="34">
        <v>0.17</v>
      </c>
      <c r="T277" s="42">
        <v>123.4</v>
      </c>
      <c r="U277" s="42">
        <v>125.1</v>
      </c>
      <c r="V277" s="42">
        <v>93.9</v>
      </c>
      <c r="W277" s="42">
        <v>131.19999999999999</v>
      </c>
      <c r="X277" s="23">
        <f>[1]ישיר!D266/1000</f>
        <v>18325.624</v>
      </c>
      <c r="Y277" s="23">
        <v>12408.933000000001</v>
      </c>
      <c r="Z277" s="23">
        <f>[1]עקיף!H266</f>
        <v>1391</v>
      </c>
      <c r="AA277" s="23">
        <f>[1]עקיף!P266</f>
        <v>1584</v>
      </c>
      <c r="AB277" s="23">
        <f>[1]עקיף!Q266</f>
        <v>12486</v>
      </c>
      <c r="AC277" s="60">
        <f>[2]monthly!AY374</f>
        <v>3.4699617608949844E-2</v>
      </c>
      <c r="AD277" s="60">
        <f>[2]monthly!AZ374</f>
        <v>0.80139293402557943</v>
      </c>
      <c r="AE277" s="60">
        <f>[2]monthly!BA374</f>
        <v>0.77355957958718502</v>
      </c>
      <c r="AF277" s="82">
        <v>9764.1326107200675</v>
      </c>
      <c r="AG277" s="80">
        <v>3598.85440473162</v>
      </c>
      <c r="AH277" s="64">
        <v>111051</v>
      </c>
      <c r="AI277" s="4">
        <v>414.6</v>
      </c>
      <c r="AJ277" s="69">
        <v>301.10000000000002</v>
      </c>
      <c r="AK277" s="68">
        <v>76</v>
      </c>
      <c r="AL277" s="74">
        <v>79.572663010385909</v>
      </c>
      <c r="AM277" s="73">
        <v>28116</v>
      </c>
      <c r="AT277" s="68"/>
      <c r="AU277" s="68"/>
      <c r="AV277" s="68"/>
      <c r="AW277" s="68"/>
    </row>
    <row r="278" spans="1:49" ht="16.5" thickBot="1">
      <c r="A278" s="28">
        <v>43009</v>
      </c>
      <c r="B278" s="29">
        <f t="shared" si="12"/>
        <v>10</v>
      </c>
      <c r="C278" s="29">
        <f t="shared" si="13"/>
        <v>4</v>
      </c>
      <c r="D278" s="29">
        <f t="shared" si="14"/>
        <v>2017</v>
      </c>
      <c r="E278" s="11">
        <v>93.773411019099996</v>
      </c>
      <c r="F278" s="20">
        <v>19740</v>
      </c>
      <c r="G278" s="20">
        <v>9782</v>
      </c>
      <c r="H278" s="50">
        <v>6469</v>
      </c>
      <c r="I278" s="47">
        <v>1471</v>
      </c>
      <c r="J278" s="13">
        <v>137.9</v>
      </c>
      <c r="K278" s="42">
        <v>307.7</v>
      </c>
      <c r="L278" s="23">
        <v>51.577727272727266</v>
      </c>
      <c r="M278" s="30">
        <v>95.65</v>
      </c>
      <c r="N278" s="30">
        <v>3.5124000000000004</v>
      </c>
      <c r="O278" s="12">
        <v>1441.6821052631581</v>
      </c>
      <c r="P278" s="12">
        <v>1313.2026315789474</v>
      </c>
      <c r="Q278" s="12">
        <v>6603.0113494999996</v>
      </c>
      <c r="R278" s="12">
        <v>2556.9972699999998</v>
      </c>
      <c r="S278" s="34">
        <v>0.17</v>
      </c>
      <c r="T278" s="42">
        <v>126.7</v>
      </c>
      <c r="U278" s="42">
        <v>128.9</v>
      </c>
      <c r="V278" s="42">
        <v>96.8</v>
      </c>
      <c r="W278" s="42">
        <v>137</v>
      </c>
      <c r="X278" s="23">
        <f>[1]ישיר!D267/1000</f>
        <v>19724.973000000002</v>
      </c>
      <c r="Y278" s="23">
        <v>14086.929</v>
      </c>
      <c r="Z278" s="23">
        <f>[1]עקיף!H267</f>
        <v>1471</v>
      </c>
      <c r="AA278" s="23">
        <f>[1]עקיף!P267</f>
        <v>1693</v>
      </c>
      <c r="AB278" s="23">
        <f>[1]עקיף!Q267</f>
        <v>9633</v>
      </c>
      <c r="AC278" s="60">
        <f>[2]monthly!AY375</f>
        <v>3.5410497133135911E-2</v>
      </c>
      <c r="AD278" s="60">
        <f>[2]monthly!AZ375</f>
        <v>0.80168712431176437</v>
      </c>
      <c r="AE278" s="60">
        <f>[2]monthly!BA375</f>
        <v>0.77329898469465075</v>
      </c>
      <c r="AF278" s="82">
        <v>9710.4419258934831</v>
      </c>
      <c r="AG278" s="80">
        <v>3621.1502283842201</v>
      </c>
      <c r="AH278" s="64">
        <v>111309</v>
      </c>
      <c r="AI278" s="4">
        <v>414.5</v>
      </c>
      <c r="AJ278" s="69">
        <v>307.7</v>
      </c>
      <c r="AK278" s="68">
        <v>78.2</v>
      </c>
      <c r="AL278" s="74">
        <v>80.028372723490676</v>
      </c>
      <c r="AM278" s="73">
        <v>28704</v>
      </c>
      <c r="AT278" s="68"/>
      <c r="AU278" s="68"/>
      <c r="AV278" s="68"/>
      <c r="AW278" s="68"/>
    </row>
    <row r="279" spans="1:49" ht="16.5" thickBot="1">
      <c r="A279" s="28">
        <v>43040</v>
      </c>
      <c r="B279" s="29">
        <f t="shared" si="12"/>
        <v>11</v>
      </c>
      <c r="C279" s="29">
        <f t="shared" si="13"/>
        <v>4</v>
      </c>
      <c r="D279" s="29">
        <f t="shared" si="14"/>
        <v>2017</v>
      </c>
      <c r="E279" s="11">
        <v>93.493768640300004</v>
      </c>
      <c r="F279" s="20">
        <v>12400</v>
      </c>
      <c r="G279" s="20">
        <v>11161</v>
      </c>
      <c r="H279" s="50">
        <v>7987</v>
      </c>
      <c r="I279" s="47">
        <v>1480</v>
      </c>
      <c r="J279" s="13">
        <v>139.35</v>
      </c>
      <c r="K279" s="42">
        <v>307.10000000000002</v>
      </c>
      <c r="L279" s="23">
        <v>56.638571428571431</v>
      </c>
      <c r="M279" s="30">
        <v>97.44</v>
      </c>
      <c r="N279" s="30">
        <v>3.5172272727272729</v>
      </c>
      <c r="O279" s="12">
        <v>1424.5045454545455</v>
      </c>
      <c r="P279" s="12">
        <v>1304.58</v>
      </c>
      <c r="Q279" s="12">
        <v>6796.0453999047622</v>
      </c>
      <c r="R279" s="12">
        <v>2593.6057207619046</v>
      </c>
      <c r="S279" s="34">
        <v>0.17</v>
      </c>
      <c r="T279" s="42">
        <v>127.7</v>
      </c>
      <c r="U279" s="42">
        <v>128.6</v>
      </c>
      <c r="V279" s="42">
        <v>96</v>
      </c>
      <c r="W279" s="42">
        <v>137.5</v>
      </c>
      <c r="X279" s="23">
        <f>[1]ישיר!D268/1000</f>
        <v>12495.543</v>
      </c>
      <c r="Y279" s="23">
        <v>7445.201</v>
      </c>
      <c r="Z279" s="23">
        <f>[1]עקיף!H268</f>
        <v>1480</v>
      </c>
      <c r="AA279" s="23">
        <f>[1]עקיף!P268</f>
        <v>1713</v>
      </c>
      <c r="AB279" s="23">
        <f>[1]עקיף!Q268</f>
        <v>11180</v>
      </c>
      <c r="AC279" s="60">
        <f>[2]monthly!AY376</f>
        <v>3.5977801601816232E-2</v>
      </c>
      <c r="AD279" s="60">
        <f>[2]monthly!AZ376</f>
        <v>0.80166835187057639</v>
      </c>
      <c r="AE279" s="60">
        <f>[2]monthly!BA376</f>
        <v>0.77282608695652177</v>
      </c>
      <c r="AF279" s="82">
        <v>9764.1039366341793</v>
      </c>
      <c r="AG279" s="80">
        <v>3630.4368184009199</v>
      </c>
      <c r="AH279" s="64">
        <v>112079</v>
      </c>
      <c r="AI279" s="4">
        <v>411.9</v>
      </c>
      <c r="AJ279" s="69">
        <v>307.10000000000002</v>
      </c>
      <c r="AK279" s="68">
        <v>79.5</v>
      </c>
      <c r="AL279" s="74">
        <v>80.384806979385488</v>
      </c>
      <c r="AM279" s="73">
        <v>30804</v>
      </c>
      <c r="AT279" s="68"/>
      <c r="AU279" s="68"/>
      <c r="AV279" s="68"/>
      <c r="AW279" s="68"/>
    </row>
    <row r="280" spans="1:49" ht="16.5" thickBot="1">
      <c r="A280" s="28">
        <v>43070</v>
      </c>
      <c r="B280" s="29">
        <f t="shared" si="12"/>
        <v>12</v>
      </c>
      <c r="C280" s="29">
        <f t="shared" si="13"/>
        <v>4</v>
      </c>
      <c r="D280" s="29">
        <f t="shared" si="14"/>
        <v>2017</v>
      </c>
      <c r="E280" s="11">
        <v>93.586982766600002</v>
      </c>
      <c r="F280" s="20">
        <v>8245</v>
      </c>
      <c r="G280" s="20">
        <v>9979</v>
      </c>
      <c r="H280" s="50">
        <v>6956</v>
      </c>
      <c r="I280" s="47">
        <v>1658</v>
      </c>
      <c r="J280" s="13">
        <v>139.04</v>
      </c>
      <c r="K280" s="42">
        <v>307</v>
      </c>
      <c r="L280" s="23">
        <v>57.881499999999996</v>
      </c>
      <c r="M280" s="30">
        <v>97.1</v>
      </c>
      <c r="N280" s="30">
        <v>3.50345</v>
      </c>
      <c r="O280" s="12">
        <v>1477.4619047619049</v>
      </c>
      <c r="P280" s="12">
        <v>1338.7090476190476</v>
      </c>
      <c r="Q280" s="12">
        <v>6889.7404658500018</v>
      </c>
      <c r="R280" s="12">
        <v>2664.3405224499998</v>
      </c>
      <c r="S280" s="34">
        <v>0.17</v>
      </c>
      <c r="T280" s="42">
        <v>126.8</v>
      </c>
      <c r="U280" s="42">
        <v>127.8</v>
      </c>
      <c r="V280" s="42">
        <v>95.9</v>
      </c>
      <c r="W280" s="42">
        <v>140.4</v>
      </c>
      <c r="X280" s="23">
        <f>[1]ישיר!D269/1000</f>
        <v>11373.936</v>
      </c>
      <c r="Y280" s="23">
        <v>6934.5429999999997</v>
      </c>
      <c r="Z280" s="23">
        <f>[1]עקיף!H269</f>
        <v>1658</v>
      </c>
      <c r="AA280" s="23">
        <f>[1]עקיף!P269</f>
        <v>1629</v>
      </c>
      <c r="AB280" s="23">
        <f>[1]עקיף!Q269</f>
        <v>10243</v>
      </c>
      <c r="AC280" s="60">
        <f>[2]monthly!AY377</f>
        <v>3.4658607989422989E-2</v>
      </c>
      <c r="AD280" s="60">
        <f>[2]monthly!AZ377</f>
        <v>0.80244013337374953</v>
      </c>
      <c r="AE280" s="60">
        <f>[2]monthly!BA377</f>
        <v>0.77462867535616853</v>
      </c>
      <c r="AF280" s="82">
        <v>9706.981467800606</v>
      </c>
      <c r="AG280" s="80">
        <v>3630.8718665034198</v>
      </c>
      <c r="AH280" s="64">
        <v>113011</v>
      </c>
      <c r="AI280" s="4">
        <v>407.8</v>
      </c>
      <c r="AJ280" s="69">
        <v>306.89999999999998</v>
      </c>
      <c r="AK280" s="68">
        <v>79.099999999999994</v>
      </c>
      <c r="AL280" s="74">
        <v>80.588063348595952</v>
      </c>
      <c r="AM280" s="73">
        <v>28776</v>
      </c>
      <c r="AT280" s="68"/>
      <c r="AU280" s="68"/>
      <c r="AV280" s="68"/>
      <c r="AW280" s="68"/>
    </row>
    <row r="281" spans="1:49" ht="16.5" thickBot="1">
      <c r="A281" s="28">
        <v>43101</v>
      </c>
      <c r="B281" s="29">
        <f t="shared" si="12"/>
        <v>1</v>
      </c>
      <c r="C281" s="29">
        <f t="shared" si="13"/>
        <v>1</v>
      </c>
      <c r="D281" s="29">
        <f t="shared" si="14"/>
        <v>2018</v>
      </c>
      <c r="E281" s="11">
        <v>93.120912135300003</v>
      </c>
      <c r="F281" s="52">
        <v>15600</v>
      </c>
      <c r="G281" s="52">
        <v>13422</v>
      </c>
      <c r="H281" s="50">
        <v>10136</v>
      </c>
      <c r="I281" s="47">
        <v>2006</v>
      </c>
      <c r="J281" s="13">
        <v>138.02000000000001</v>
      </c>
      <c r="K281" s="42">
        <v>310.39999999999998</v>
      </c>
      <c r="L281" s="23">
        <v>63.698571428571434</v>
      </c>
      <c r="M281" s="30">
        <v>96.77</v>
      </c>
      <c r="N281" s="30">
        <v>3.4232272727272726</v>
      </c>
      <c r="O281" s="12">
        <v>1535.6978260869564</v>
      </c>
      <c r="P281" s="12">
        <v>1395.5582608695652</v>
      </c>
      <c r="Q281" s="12">
        <v>7279.4980952380965</v>
      </c>
      <c r="R281" s="12">
        <v>2789.8038081428572</v>
      </c>
      <c r="S281" s="34">
        <v>0.17</v>
      </c>
      <c r="T281" s="42">
        <v>127.1</v>
      </c>
      <c r="U281" s="42">
        <v>127.7</v>
      </c>
      <c r="V281" s="42">
        <v>96.4</v>
      </c>
      <c r="W281" s="42">
        <v>135.69999999999999</v>
      </c>
      <c r="X281" s="23">
        <f>[1]ישיר!D270/1000</f>
        <v>16870.356</v>
      </c>
      <c r="Y281" s="23">
        <v>8922.0110000000004</v>
      </c>
      <c r="Z281" s="23">
        <f>[1]עקיף!H270</f>
        <v>2006</v>
      </c>
      <c r="AA281" s="23">
        <f>[1]עקיף!P270</f>
        <v>1493</v>
      </c>
      <c r="AB281" s="23">
        <f>[1]עקיף!Q270</f>
        <v>13635</v>
      </c>
      <c r="AC281" s="60">
        <f>[2]monthly!AY378</f>
        <v>3.2669196710942441E-2</v>
      </c>
      <c r="AD281" s="60">
        <f>[2]monthly!AZ378</f>
        <v>0.79779986879951559</v>
      </c>
      <c r="AE281" s="60">
        <f>[2]monthly!BA378</f>
        <v>0.77173638794974009</v>
      </c>
      <c r="AF281" s="82">
        <v>9813.0472879734207</v>
      </c>
      <c r="AG281" s="80">
        <v>3654.1596001540597</v>
      </c>
      <c r="AH281" s="64">
        <v>117622</v>
      </c>
      <c r="AI281" s="4">
        <v>406.3</v>
      </c>
      <c r="AJ281" s="69">
        <v>310.39999999999998</v>
      </c>
      <c r="AK281" s="68">
        <v>80.599999999999994</v>
      </c>
      <c r="AL281" s="74">
        <v>80.917151666235085</v>
      </c>
      <c r="AM281" s="73">
        <v>28044</v>
      </c>
      <c r="AT281" s="68"/>
      <c r="AU281" s="68"/>
      <c r="AV281" s="68"/>
      <c r="AW281" s="68"/>
    </row>
    <row r="282" spans="1:49" ht="16.5" thickBot="1">
      <c r="A282" s="28">
        <v>43132</v>
      </c>
      <c r="B282" s="29">
        <f t="shared" si="12"/>
        <v>2</v>
      </c>
      <c r="C282" s="29">
        <f t="shared" si="13"/>
        <v>1</v>
      </c>
      <c r="D282" s="29">
        <f t="shared" si="14"/>
        <v>2018</v>
      </c>
      <c r="E282" s="11">
        <v>93.214126261499999</v>
      </c>
      <c r="F282" s="52">
        <v>13531</v>
      </c>
      <c r="G282" s="52">
        <v>10758</v>
      </c>
      <c r="H282" s="50">
        <v>7313</v>
      </c>
      <c r="I282" s="47">
        <v>1986</v>
      </c>
      <c r="J282" s="13">
        <v>139.83000000000001</v>
      </c>
      <c r="K282" s="42">
        <v>317.5</v>
      </c>
      <c r="L282" s="23">
        <v>62.229473684210532</v>
      </c>
      <c r="M282" s="30">
        <v>96.75</v>
      </c>
      <c r="N282" s="30">
        <v>3.4791000000000012</v>
      </c>
      <c r="O282" s="12">
        <v>1495.6759999999999</v>
      </c>
      <c r="P282" s="12">
        <v>1358.8225000000002</v>
      </c>
      <c r="Q282" s="12">
        <v>7161.7684118421048</v>
      </c>
      <c r="R282" s="12">
        <v>2705.1552662631584</v>
      </c>
      <c r="S282" s="34">
        <v>0.17</v>
      </c>
      <c r="T282" s="42">
        <v>127.7</v>
      </c>
      <c r="U282" s="42">
        <v>127.8</v>
      </c>
      <c r="V282" s="42">
        <v>97.3</v>
      </c>
      <c r="W282" s="42">
        <v>140.4</v>
      </c>
      <c r="X282" s="23">
        <f>[1]ישיר!D271/1000</f>
        <v>12956.834000000001</v>
      </c>
      <c r="Y282" s="23">
        <v>7740.2070000000003</v>
      </c>
      <c r="Z282" s="23">
        <f>[1]עקיף!H271</f>
        <v>1986</v>
      </c>
      <c r="AA282" s="23">
        <f>[1]עקיף!P271</f>
        <v>1347</v>
      </c>
      <c r="AB282" s="23">
        <f>[1]עקיף!Q271</f>
        <v>10646</v>
      </c>
      <c r="AC282" s="60">
        <f>[2]monthly!AY379</f>
        <v>3.2360326428123039E-2</v>
      </c>
      <c r="AD282" s="60">
        <f>[2]monthly!AZ379</f>
        <v>0.80104593568501237</v>
      </c>
      <c r="AE282" s="60">
        <f>[2]monthly!BA379</f>
        <v>0.77509868503758828</v>
      </c>
      <c r="AF282" s="82">
        <v>9802.7705783641122</v>
      </c>
      <c r="AG282" s="80">
        <v>3663.0249196137702</v>
      </c>
      <c r="AH282" s="64">
        <v>116293</v>
      </c>
      <c r="AI282" s="4">
        <v>405.9</v>
      </c>
      <c r="AJ282" s="69">
        <v>317.2</v>
      </c>
      <c r="AK282" s="68">
        <v>79.400000000000006</v>
      </c>
      <c r="AL282" s="74">
        <v>81.230694499111195</v>
      </c>
      <c r="AM282" s="73">
        <v>37068</v>
      </c>
      <c r="AT282" s="68"/>
      <c r="AU282" s="68"/>
      <c r="AV282" s="68"/>
      <c r="AW282" s="68"/>
    </row>
    <row r="283" spans="1:49" ht="16.5" thickBot="1">
      <c r="A283" s="28">
        <v>43160</v>
      </c>
      <c r="B283" s="29">
        <f t="shared" si="12"/>
        <v>3</v>
      </c>
      <c r="C283" s="29">
        <f t="shared" si="13"/>
        <v>1</v>
      </c>
      <c r="D283" s="29">
        <f t="shared" si="14"/>
        <v>2018</v>
      </c>
      <c r="E283" s="11">
        <v>93.493768640300004</v>
      </c>
      <c r="F283" s="52">
        <v>14264</v>
      </c>
      <c r="G283" s="52">
        <v>11441</v>
      </c>
      <c r="H283" s="50">
        <v>7853</v>
      </c>
      <c r="I283" s="47">
        <v>1923</v>
      </c>
      <c r="J283" s="13">
        <v>142.74</v>
      </c>
      <c r="K283" s="42">
        <v>315.2</v>
      </c>
      <c r="L283" s="23">
        <v>62.724761904761898</v>
      </c>
      <c r="M283" s="30">
        <v>93.56</v>
      </c>
      <c r="N283" s="30">
        <v>3.4751538461538467</v>
      </c>
      <c r="O283" s="12">
        <v>1475.7980000000002</v>
      </c>
      <c r="P283" s="12">
        <v>1340.1704999999999</v>
      </c>
      <c r="Q283" s="12">
        <v>7311.5066964285725</v>
      </c>
      <c r="R283" s="12">
        <v>2702.7738211428564</v>
      </c>
      <c r="S283" s="34">
        <v>0.17</v>
      </c>
      <c r="T283" s="42">
        <v>128.5</v>
      </c>
      <c r="U283" s="42">
        <v>129</v>
      </c>
      <c r="V283" s="42">
        <v>99.5</v>
      </c>
      <c r="W283" s="42">
        <v>143.6</v>
      </c>
      <c r="X283" s="23">
        <f>[1]ישיר!D272/1000</f>
        <v>14193.826999999999</v>
      </c>
      <c r="Y283" s="23">
        <v>8155.21</v>
      </c>
      <c r="Z283" s="23">
        <f>[1]עקיף!H272</f>
        <v>1923</v>
      </c>
      <c r="AA283" s="23">
        <f>[1]עקיף!P272</f>
        <v>1653</v>
      </c>
      <c r="AB283" s="23">
        <f>[1]עקיף!Q272</f>
        <v>11429</v>
      </c>
      <c r="AC283" s="60">
        <f>[2]monthly!AY380</f>
        <v>3.2851883319173041E-2</v>
      </c>
      <c r="AD283" s="60">
        <f>[2]monthly!AZ380</f>
        <v>0.80296636935593912</v>
      </c>
      <c r="AE283" s="60">
        <f>[2]monthly!BA380</f>
        <v>0.77656214467999096</v>
      </c>
      <c r="AF283" s="82">
        <v>9913.1956047167405</v>
      </c>
      <c r="AG283" s="80">
        <v>3669.4479855869599</v>
      </c>
      <c r="AH283" s="64">
        <v>116127</v>
      </c>
      <c r="AI283" s="4">
        <v>406.5</v>
      </c>
      <c r="AJ283" s="69">
        <v>315.3</v>
      </c>
      <c r="AK283" s="68">
        <v>78.900000000000006</v>
      </c>
      <c r="AL283" s="74">
        <v>81.435455295901946</v>
      </c>
      <c r="AM283" s="73">
        <v>30396</v>
      </c>
      <c r="AT283" s="68"/>
      <c r="AU283" s="68"/>
      <c r="AV283" s="68"/>
      <c r="AW283" s="68"/>
    </row>
    <row r="284" spans="1:49" ht="16.5" thickBot="1">
      <c r="A284" s="28">
        <v>43191</v>
      </c>
      <c r="B284" s="29">
        <f t="shared" si="12"/>
        <v>4</v>
      </c>
      <c r="C284" s="29">
        <f t="shared" si="13"/>
        <v>2</v>
      </c>
      <c r="D284" s="29">
        <f t="shared" si="14"/>
        <v>2018</v>
      </c>
      <c r="E284" s="11">
        <v>93.866625145399993</v>
      </c>
      <c r="F284" s="52">
        <v>13909</v>
      </c>
      <c r="G284" s="52">
        <v>10767</v>
      </c>
      <c r="H284" s="50">
        <v>7653</v>
      </c>
      <c r="I284" s="47">
        <v>1512</v>
      </c>
      <c r="J284" s="13">
        <v>141.91</v>
      </c>
      <c r="K284" s="42">
        <v>307.60000000000002</v>
      </c>
      <c r="L284" s="23">
        <v>66.253809523809522</v>
      </c>
      <c r="M284" s="30">
        <v>94.66</v>
      </c>
      <c r="N284" s="30">
        <v>3.5385555555555555</v>
      </c>
      <c r="O284" s="12">
        <v>1453.4689473684211</v>
      </c>
      <c r="P284" s="12">
        <v>1321.5684210526319</v>
      </c>
      <c r="Q284" s="12">
        <v>7084.1423465238086</v>
      </c>
      <c r="R284" s="12">
        <v>2653.6252092857144</v>
      </c>
      <c r="S284" s="34">
        <v>0.17</v>
      </c>
      <c r="T284" s="42">
        <v>127.7</v>
      </c>
      <c r="U284" s="42">
        <v>125.9</v>
      </c>
      <c r="V284" s="42">
        <v>93.6</v>
      </c>
      <c r="W284" s="42">
        <v>139.80000000000001</v>
      </c>
      <c r="X284" s="23">
        <f>[1]ישיר!D273/1000</f>
        <v>13992.928</v>
      </c>
      <c r="Y284" s="23">
        <v>8692.5139999999992</v>
      </c>
      <c r="Z284" s="23">
        <f>[1]עקיף!H273</f>
        <v>1512</v>
      </c>
      <c r="AA284" s="23">
        <f>[1]עקיף!P273</f>
        <v>1587</v>
      </c>
      <c r="AB284" s="23">
        <f>[1]עקיף!Q273</f>
        <v>10752</v>
      </c>
      <c r="AC284" s="60">
        <f>[2]monthly!AY381</f>
        <v>3.5329491355549983E-2</v>
      </c>
      <c r="AD284" s="60">
        <f>[2]monthly!AZ381</f>
        <v>0.79995991180597326</v>
      </c>
      <c r="AE284" s="60">
        <f>[2]monthly!BA381</f>
        <v>0.77167267989577071</v>
      </c>
      <c r="AF284" s="82">
        <v>9992.4886311893388</v>
      </c>
      <c r="AG284" s="80">
        <v>3663.2032352389101</v>
      </c>
      <c r="AH284" s="64">
        <v>115354</v>
      </c>
      <c r="AI284" s="4">
        <v>406.2</v>
      </c>
      <c r="AJ284" s="69">
        <v>307.60000000000002</v>
      </c>
      <c r="AK284" s="68">
        <v>79.900000000000006</v>
      </c>
      <c r="AL284" s="74">
        <v>81.597746986394242</v>
      </c>
      <c r="AM284" s="73">
        <v>29052</v>
      </c>
      <c r="AT284" s="68"/>
      <c r="AU284" s="68"/>
      <c r="AV284" s="68"/>
      <c r="AW284" s="68"/>
    </row>
    <row r="285" spans="1:49" ht="16.5" thickBot="1">
      <c r="A285" s="28">
        <v>43221</v>
      </c>
      <c r="B285" s="29">
        <f t="shared" si="12"/>
        <v>5</v>
      </c>
      <c r="C285" s="29">
        <f t="shared" si="13"/>
        <v>2</v>
      </c>
      <c r="D285" s="29">
        <f t="shared" si="14"/>
        <v>2018</v>
      </c>
      <c r="E285" s="11">
        <v>94.332695776700007</v>
      </c>
      <c r="F285" s="52">
        <v>12464</v>
      </c>
      <c r="G285" s="52">
        <v>12056</v>
      </c>
      <c r="H285" s="50">
        <v>8903</v>
      </c>
      <c r="I285" s="47">
        <v>1677</v>
      </c>
      <c r="J285" s="13">
        <v>143.1</v>
      </c>
      <c r="K285" s="42">
        <v>319.10000000000002</v>
      </c>
      <c r="L285" s="23">
        <v>69.97818181818181</v>
      </c>
      <c r="M285" s="30">
        <v>93.33</v>
      </c>
      <c r="N285" s="30">
        <v>3.5910454545454544</v>
      </c>
      <c r="O285" s="12">
        <v>1496.0800000000002</v>
      </c>
      <c r="P285" s="12">
        <v>1348.893181818182</v>
      </c>
      <c r="Q285" s="12">
        <v>7339.3272815909095</v>
      </c>
      <c r="R285" s="12">
        <v>2701.4936190909084</v>
      </c>
      <c r="S285" s="34">
        <v>0.17</v>
      </c>
      <c r="T285" s="42">
        <v>130.30000000000001</v>
      </c>
      <c r="U285" s="42">
        <v>130.30000000000001</v>
      </c>
      <c r="V285" s="42">
        <v>97.1</v>
      </c>
      <c r="W285" s="42">
        <v>143.80000000000001</v>
      </c>
      <c r="X285" s="23">
        <f>[1]ישיר!D274/1000</f>
        <v>12458.07</v>
      </c>
      <c r="Y285" s="23">
        <v>8343.3160000000007</v>
      </c>
      <c r="Z285" s="23">
        <f>[1]עקיף!H274</f>
        <v>1677</v>
      </c>
      <c r="AA285" s="23">
        <f>[1]עקיף!P274</f>
        <v>1583</v>
      </c>
      <c r="AB285" s="23">
        <f>[1]עקיף!Q274</f>
        <v>12163</v>
      </c>
      <c r="AC285" s="60">
        <f>[2]monthly!AY382</f>
        <v>3.5838942907005733E-2</v>
      </c>
      <c r="AD285" s="60">
        <f>[2]monthly!AZ382</f>
        <v>0.80903635721849643</v>
      </c>
      <c r="AE285" s="60">
        <f>[2]monthly!BA382</f>
        <v>0.78004134940245085</v>
      </c>
      <c r="AF285" s="82">
        <v>9906.0128708620905</v>
      </c>
      <c r="AG285" s="80">
        <v>3675.82436350528</v>
      </c>
      <c r="AH285" s="64">
        <v>114700</v>
      </c>
      <c r="AI285" s="4">
        <v>409.2</v>
      </c>
      <c r="AJ285" s="69">
        <v>319.10000000000002</v>
      </c>
      <c r="AK285" s="68">
        <v>79.7</v>
      </c>
      <c r="AL285" s="74">
        <v>81.817728075104895</v>
      </c>
      <c r="AM285" s="73">
        <v>30132</v>
      </c>
      <c r="AT285" s="68"/>
      <c r="AU285" s="68"/>
      <c r="AV285" s="68"/>
      <c r="AW285" s="68"/>
    </row>
    <row r="286" spans="1:49" ht="16.5" thickBot="1">
      <c r="A286" s="28">
        <v>43252</v>
      </c>
      <c r="B286" s="29">
        <f t="shared" si="12"/>
        <v>6</v>
      </c>
      <c r="C286" s="29">
        <f t="shared" si="13"/>
        <v>2</v>
      </c>
      <c r="D286" s="29">
        <f t="shared" si="14"/>
        <v>2018</v>
      </c>
      <c r="E286" s="11">
        <v>94.425909902900003</v>
      </c>
      <c r="F286" s="52">
        <v>13127</v>
      </c>
      <c r="G286" s="52">
        <v>10350</v>
      </c>
      <c r="H286" s="50">
        <v>6899</v>
      </c>
      <c r="I286" s="47">
        <v>1633</v>
      </c>
      <c r="J286" s="13">
        <v>143.35</v>
      </c>
      <c r="K286" s="42">
        <v>313.89999999999998</v>
      </c>
      <c r="L286" s="23">
        <v>67.873333333333335</v>
      </c>
      <c r="M286" s="30">
        <v>94.36</v>
      </c>
      <c r="N286" s="30">
        <v>3.6045238095238092</v>
      </c>
      <c r="O286" s="12">
        <v>1531.0854999999999</v>
      </c>
      <c r="P286" s="12">
        <v>1381.9464999999996</v>
      </c>
      <c r="Q286" s="12">
        <v>7645.1385323809518</v>
      </c>
      <c r="R286" s="12">
        <v>2754.3528878571433</v>
      </c>
      <c r="S286" s="34">
        <v>0.17</v>
      </c>
      <c r="T286" s="42">
        <v>125.9</v>
      </c>
      <c r="U286" s="42">
        <v>124.9</v>
      </c>
      <c r="V286" s="42">
        <v>95.7</v>
      </c>
      <c r="W286" s="42">
        <v>137.69999999999999</v>
      </c>
      <c r="X286" s="23">
        <f>[1]ישיר!D275/1000</f>
        <v>12103.706</v>
      </c>
      <c r="Y286" s="23">
        <v>7508.1220000000003</v>
      </c>
      <c r="Z286" s="23">
        <f>[1]עקיף!H275</f>
        <v>1633</v>
      </c>
      <c r="AA286" s="23">
        <f>[1]עקיף!P275</f>
        <v>1611.2170542635658</v>
      </c>
      <c r="AB286" s="23">
        <f>[1]עקיף!Q275</f>
        <v>10143.217054263565</v>
      </c>
      <c r="AC286" s="60">
        <f>[2]monthly!AY383</f>
        <v>3.6325185046961493E-2</v>
      </c>
      <c r="AD286" s="60">
        <f>[2]monthly!AZ383</f>
        <v>0.80797065031661475</v>
      </c>
      <c r="AE286" s="60">
        <f>[2]monthly!BA383</f>
        <v>0.77862096693134986</v>
      </c>
      <c r="AF286" s="82">
        <v>9936.0689234428883</v>
      </c>
      <c r="AG286" s="80">
        <v>3662.41154217953</v>
      </c>
      <c r="AH286" s="64">
        <v>114832</v>
      </c>
      <c r="AI286" s="4">
        <v>410.5</v>
      </c>
      <c r="AJ286" s="69">
        <v>313.89999999999998</v>
      </c>
      <c r="AK286" s="68">
        <v>78.400000000000006</v>
      </c>
      <c r="AL286" s="74">
        <v>81.826821068149897</v>
      </c>
      <c r="AM286" s="73">
        <v>24360</v>
      </c>
      <c r="AT286" s="68"/>
      <c r="AU286" s="68"/>
      <c r="AV286" s="68"/>
      <c r="AW286" s="68"/>
    </row>
    <row r="287" spans="1:49" ht="16.5" thickBot="1">
      <c r="A287" s="28">
        <v>43282</v>
      </c>
      <c r="B287" s="29">
        <f t="shared" si="12"/>
        <v>7</v>
      </c>
      <c r="C287" s="29">
        <f t="shared" si="13"/>
        <v>3</v>
      </c>
      <c r="D287" s="29">
        <f t="shared" si="14"/>
        <v>2018</v>
      </c>
      <c r="E287" s="11">
        <v>94.425909902900003</v>
      </c>
      <c r="F287" s="52">
        <v>14389</v>
      </c>
      <c r="G287" s="52">
        <v>12976</v>
      </c>
      <c r="H287" s="50">
        <v>9421</v>
      </c>
      <c r="I287" s="47">
        <v>1854</v>
      </c>
      <c r="J287" s="13">
        <v>141.41999999999999</v>
      </c>
      <c r="K287" s="42">
        <v>316.89999999999998</v>
      </c>
      <c r="L287" s="23">
        <v>70.98142857142858</v>
      </c>
      <c r="M287" s="30">
        <v>94.87</v>
      </c>
      <c r="N287" s="30">
        <v>3.6453181818181828</v>
      </c>
      <c r="O287" s="12">
        <v>1546.7981818181818</v>
      </c>
      <c r="P287" s="12">
        <v>1383.4054545454546</v>
      </c>
      <c r="Q287" s="12">
        <v>7751.5636142857147</v>
      </c>
      <c r="R287" s="12">
        <v>2792.1304919523814</v>
      </c>
      <c r="S287" s="34">
        <v>0.17</v>
      </c>
      <c r="T287" s="42">
        <v>130.6</v>
      </c>
      <c r="U287" s="42">
        <v>130.1</v>
      </c>
      <c r="V287" s="42">
        <v>94.1</v>
      </c>
      <c r="W287" s="42">
        <v>137.80000000000001</v>
      </c>
      <c r="X287" s="23">
        <f>[1]ישיר!D276/1000</f>
        <v>15425.018</v>
      </c>
      <c r="Y287" s="23">
        <v>9261.3729999999996</v>
      </c>
      <c r="Z287" s="23">
        <f>[1]עקיף!H276</f>
        <v>1854</v>
      </c>
      <c r="AA287" s="23">
        <f>[1]עקיף!P276</f>
        <v>1828</v>
      </c>
      <c r="AB287" s="23">
        <f>[1]עקיף!Q276</f>
        <v>13103</v>
      </c>
      <c r="AC287" s="60">
        <f>[2]monthly!AY384</f>
        <v>3.3965661771554537E-2</v>
      </c>
      <c r="AD287" s="60">
        <f>[2]monthly!AZ384</f>
        <v>0.80490303878448621</v>
      </c>
      <c r="AE287" s="60">
        <f>[2]monthly!BA384</f>
        <v>0.77756397441023595</v>
      </c>
      <c r="AF287" s="82">
        <v>9946.5667506307873</v>
      </c>
      <c r="AG287" s="80">
        <v>3654.9873595088798</v>
      </c>
      <c r="AH287" s="64">
        <v>115782</v>
      </c>
      <c r="AI287" s="3">
        <v>408.1</v>
      </c>
      <c r="AJ287" s="69">
        <v>316.89999999999998</v>
      </c>
      <c r="AK287" s="68">
        <v>79.8</v>
      </c>
      <c r="AL287" s="74">
        <v>82.172298495875069</v>
      </c>
      <c r="AM287" s="73">
        <v>28224</v>
      </c>
      <c r="AT287" s="68"/>
      <c r="AU287" s="68"/>
      <c r="AV287" s="68"/>
      <c r="AW287" s="68"/>
    </row>
    <row r="288" spans="1:49" ht="16.5" thickBot="1">
      <c r="A288" s="28">
        <v>43313</v>
      </c>
      <c r="B288" s="29">
        <f t="shared" si="12"/>
        <v>8</v>
      </c>
      <c r="C288" s="29">
        <f t="shared" si="13"/>
        <v>3</v>
      </c>
      <c r="D288" s="29">
        <f t="shared" si="14"/>
        <v>2018</v>
      </c>
      <c r="E288" s="11">
        <v>94.5191240292</v>
      </c>
      <c r="F288" s="52">
        <v>12926</v>
      </c>
      <c r="G288" s="52">
        <v>10936</v>
      </c>
      <c r="H288" s="50">
        <v>7174</v>
      </c>
      <c r="I288" s="47">
        <v>1808</v>
      </c>
      <c r="J288" s="13">
        <v>142.04</v>
      </c>
      <c r="K288" s="42">
        <v>324.10000000000002</v>
      </c>
      <c r="L288" s="23">
        <v>68.055652173913046</v>
      </c>
      <c r="M288" s="30">
        <v>94.63</v>
      </c>
      <c r="N288" s="30">
        <v>3.6644999999999994</v>
      </c>
      <c r="O288" s="12">
        <v>1609.3254545454547</v>
      </c>
      <c r="P288" s="12">
        <v>1440.8459090909091</v>
      </c>
      <c r="Q288" s="12">
        <v>7892.2338959130439</v>
      </c>
      <c r="R288" s="12">
        <v>2857.8204258260871</v>
      </c>
      <c r="S288" s="34">
        <v>0.17</v>
      </c>
      <c r="T288" s="42">
        <v>131.5</v>
      </c>
      <c r="U288" s="42">
        <v>129</v>
      </c>
      <c r="V288" s="42">
        <v>97.1</v>
      </c>
      <c r="W288" s="42">
        <v>139.6</v>
      </c>
      <c r="X288" s="23">
        <f>[1]ישיר!D277/1000</f>
        <v>12819.431</v>
      </c>
      <c r="Y288" s="23">
        <v>7882.6610000000001</v>
      </c>
      <c r="Z288" s="23">
        <f>[1]עקיף!H277</f>
        <v>1808</v>
      </c>
      <c r="AA288" s="23">
        <f>[1]עקיף!P277</f>
        <v>1845</v>
      </c>
      <c r="AB288" s="23">
        <f>[1]עקיף!Q277</f>
        <v>10827</v>
      </c>
      <c r="AC288" s="60">
        <f>[2]monthly!AY385</f>
        <v>3.3175061291623995E-2</v>
      </c>
      <c r="AD288" s="60">
        <f>[2]monthly!AZ385</f>
        <v>0.80368633710779669</v>
      </c>
      <c r="AE288" s="60">
        <f>[2]monthly!BA385</f>
        <v>0.77702399361500474</v>
      </c>
      <c r="AF288" s="82">
        <v>9983.2183781673102</v>
      </c>
      <c r="AG288" s="80">
        <v>3671.2816907221199</v>
      </c>
      <c r="AH288" s="64">
        <v>116005</v>
      </c>
      <c r="AI288" s="4">
        <v>407.4</v>
      </c>
      <c r="AJ288" s="69">
        <v>324</v>
      </c>
      <c r="AK288" s="68">
        <v>81.400000000000006</v>
      </c>
      <c r="AL288" s="74">
        <v>82.491870242511098</v>
      </c>
      <c r="AM288" s="73">
        <v>28800</v>
      </c>
      <c r="AT288" s="68"/>
      <c r="AU288" s="68"/>
      <c r="AV288" s="68"/>
      <c r="AW288" s="68"/>
    </row>
    <row r="289" spans="1:49" ht="16.5" thickBot="1">
      <c r="A289" s="28">
        <v>43344</v>
      </c>
      <c r="B289" s="29">
        <f t="shared" si="12"/>
        <v>9</v>
      </c>
      <c r="C289" s="29">
        <f t="shared" si="13"/>
        <v>3</v>
      </c>
      <c r="D289" s="29">
        <f t="shared" si="14"/>
        <v>2018</v>
      </c>
      <c r="E289" s="11">
        <v>94.612338155499998</v>
      </c>
      <c r="F289" s="52">
        <v>11608</v>
      </c>
      <c r="G289" s="52">
        <v>8335</v>
      </c>
      <c r="H289" s="50">
        <v>5318</v>
      </c>
      <c r="I289" s="47">
        <v>1178</v>
      </c>
      <c r="J289" s="13">
        <v>142.52000000000001</v>
      </c>
      <c r="K289" s="42">
        <v>321</v>
      </c>
      <c r="L289" s="23">
        <v>70.232105263157905</v>
      </c>
      <c r="M289" s="30">
        <v>95.53</v>
      </c>
      <c r="N289" s="30">
        <v>3.5925333333333334</v>
      </c>
      <c r="O289" s="12">
        <v>1651.8207692307694</v>
      </c>
      <c r="P289" s="12">
        <v>1486.5138461538461</v>
      </c>
      <c r="Q289" s="12">
        <v>7980.4280447894753</v>
      </c>
      <c r="R289" s="12">
        <v>2901.1936843157901</v>
      </c>
      <c r="S289" s="34">
        <v>0.17</v>
      </c>
      <c r="T289" s="42">
        <v>130</v>
      </c>
      <c r="U289" s="42">
        <v>129.6</v>
      </c>
      <c r="V289" s="42">
        <v>95.8</v>
      </c>
      <c r="W289" s="42">
        <v>140.19999999999999</v>
      </c>
      <c r="X289" s="23">
        <f>[1]ישיר!D278/1000</f>
        <v>11579.198</v>
      </c>
      <c r="Y289" s="23">
        <v>7312.7879999999996</v>
      </c>
      <c r="Z289" s="23">
        <f>[1]עקיף!H278</f>
        <v>1178</v>
      </c>
      <c r="AA289" s="23">
        <f>[1]עקיף!P278</f>
        <v>1698</v>
      </c>
      <c r="AB289" s="23">
        <f>[1]עקיף!Q278</f>
        <v>8194</v>
      </c>
      <c r="AC289" s="60">
        <f>[2]monthly!AY386</f>
        <v>3.5542449169641471E-2</v>
      </c>
      <c r="AD289" s="60">
        <f>[2]monthly!AZ386</f>
        <v>0.80212638812808135</v>
      </c>
      <c r="AE289" s="60">
        <f>[2]monthly!BA386</f>
        <v>0.77361685175041084</v>
      </c>
      <c r="AF289" s="82">
        <v>10096.453169036356</v>
      </c>
      <c r="AG289" s="80">
        <v>3613.6985639033601</v>
      </c>
      <c r="AH289" s="64">
        <v>115458</v>
      </c>
      <c r="AI289" s="4">
        <v>406.6</v>
      </c>
      <c r="AJ289" s="69">
        <v>321</v>
      </c>
      <c r="AK289" s="68">
        <v>78.900000000000006</v>
      </c>
      <c r="AL289" s="74">
        <v>82.459753490463513</v>
      </c>
      <c r="AM289" s="73">
        <v>33948</v>
      </c>
      <c r="AT289" s="68"/>
      <c r="AU289" s="68"/>
      <c r="AV289" s="68"/>
      <c r="AW289" s="68"/>
    </row>
    <row r="290" spans="1:49" ht="16.5" thickBot="1">
      <c r="A290" s="28">
        <v>43374</v>
      </c>
      <c r="B290" s="29">
        <f t="shared" si="12"/>
        <v>10</v>
      </c>
      <c r="C290" s="29">
        <f t="shared" si="13"/>
        <v>4</v>
      </c>
      <c r="D290" s="29">
        <f t="shared" si="14"/>
        <v>2018</v>
      </c>
      <c r="E290" s="11">
        <v>94.891980534200002</v>
      </c>
      <c r="F290" s="52">
        <v>12968</v>
      </c>
      <c r="G290" s="52">
        <v>14484</v>
      </c>
      <c r="H290" s="50">
        <v>11172</v>
      </c>
      <c r="I290" s="47">
        <v>1635</v>
      </c>
      <c r="J290" s="13">
        <v>142.34</v>
      </c>
      <c r="K290" s="42">
        <v>325.8</v>
      </c>
      <c r="L290" s="23">
        <v>70.748695652173907</v>
      </c>
      <c r="M290" s="30">
        <v>97.32</v>
      </c>
      <c r="N290" s="30">
        <v>3.6559523809523813</v>
      </c>
      <c r="O290" s="12">
        <v>1607.3995238095238</v>
      </c>
      <c r="P290" s="12">
        <v>1452.3190476190478</v>
      </c>
      <c r="Q290" s="12">
        <v>7527.0839071304354</v>
      </c>
      <c r="R290" s="12">
        <v>2785.4647834347825</v>
      </c>
      <c r="S290" s="34">
        <v>0.17</v>
      </c>
      <c r="T290" s="42">
        <v>127.8</v>
      </c>
      <c r="U290" s="42">
        <v>128.1</v>
      </c>
      <c r="V290" s="42">
        <v>96.4</v>
      </c>
      <c r="W290" s="42">
        <v>140.6</v>
      </c>
      <c r="X290" s="23">
        <f>[1]ישיר!D279/1000</f>
        <v>13262.65</v>
      </c>
      <c r="Y290" s="23">
        <v>8037.3270000000002</v>
      </c>
      <c r="Z290" s="23">
        <f>[1]עקיף!H279</f>
        <v>1635</v>
      </c>
      <c r="AA290" s="23">
        <f>[1]עקיף!P279</f>
        <v>1438</v>
      </c>
      <c r="AB290" s="23">
        <f>[1]עקיף!Q279</f>
        <v>14245</v>
      </c>
      <c r="AC290" s="60">
        <f>[2]monthly!AY387</f>
        <v>3.6151694124961144E-2</v>
      </c>
      <c r="AD290" s="60">
        <f>[2]monthly!AZ387</f>
        <v>0.80078659796380647</v>
      </c>
      <c r="AE290" s="60">
        <f>[2]monthly!BA387</f>
        <v>0.7718368058148507</v>
      </c>
      <c r="AF290" s="82">
        <v>10029.481398462995</v>
      </c>
      <c r="AG290" s="80">
        <v>3726.3006990341401</v>
      </c>
      <c r="AH290" s="64">
        <v>113911</v>
      </c>
      <c r="AI290" s="4">
        <v>405.8</v>
      </c>
      <c r="AJ290" s="69">
        <v>325.8</v>
      </c>
      <c r="AK290" s="68">
        <v>78.8</v>
      </c>
      <c r="AL290" s="74">
        <v>82.658029499833546</v>
      </c>
      <c r="AM290" s="73">
        <v>34404</v>
      </c>
      <c r="AT290" s="68"/>
      <c r="AU290" s="68"/>
      <c r="AV290" s="68"/>
      <c r="AW290" s="68"/>
    </row>
    <row r="291" spans="1:49" ht="16.5" thickBot="1">
      <c r="A291" s="28">
        <v>43405</v>
      </c>
      <c r="B291" s="29">
        <f t="shared" si="12"/>
        <v>11</v>
      </c>
      <c r="C291" s="29">
        <f t="shared" si="13"/>
        <v>4</v>
      </c>
      <c r="D291" s="29">
        <f t="shared" si="14"/>
        <v>2018</v>
      </c>
      <c r="E291" s="11">
        <v>94.612338155499998</v>
      </c>
      <c r="F291" s="52">
        <v>13060</v>
      </c>
      <c r="G291" s="52">
        <v>11208</v>
      </c>
      <c r="H291" s="50">
        <v>8505</v>
      </c>
      <c r="I291" s="47">
        <v>1465</v>
      </c>
      <c r="J291" s="13">
        <v>140.34</v>
      </c>
      <c r="K291" s="42">
        <v>330.6</v>
      </c>
      <c r="L291" s="23">
        <v>56.963499999999996</v>
      </c>
      <c r="M291" s="30">
        <v>95.87</v>
      </c>
      <c r="N291" s="30">
        <v>3.7054545454545451</v>
      </c>
      <c r="O291" s="12">
        <v>1628.9095238095238</v>
      </c>
      <c r="P291" s="12">
        <v>1467.6819047619051</v>
      </c>
      <c r="Q291" s="12">
        <v>7236.081421142856</v>
      </c>
      <c r="R291" s="12">
        <v>2723.2309519523815</v>
      </c>
      <c r="S291" s="34">
        <v>0.17</v>
      </c>
      <c r="T291" s="42">
        <v>129.80000000000001</v>
      </c>
      <c r="U291" s="42">
        <v>129.5</v>
      </c>
      <c r="V291" s="42">
        <v>97.6</v>
      </c>
      <c r="W291" s="42">
        <v>142.9</v>
      </c>
      <c r="X291" s="23">
        <f>[1]ישיר!D280/1000</f>
        <v>12961.464</v>
      </c>
      <c r="Y291" s="23">
        <v>7970.509</v>
      </c>
      <c r="Z291" s="23">
        <f>[1]עקיף!H280</f>
        <v>1465</v>
      </c>
      <c r="AA291" s="23">
        <f>[1]עקיף!P280</f>
        <v>1535</v>
      </c>
      <c r="AB291" s="23">
        <f>[1]עקיף!Q280</f>
        <v>11505</v>
      </c>
      <c r="AC291" s="60">
        <f>[2]monthly!AY388</f>
        <v>3.7482143966213279E-2</v>
      </c>
      <c r="AD291" s="60">
        <f>[2]monthly!AZ388</f>
        <v>0.79975164534955911</v>
      </c>
      <c r="AE291" s="60">
        <f>[2]monthly!BA388</f>
        <v>0.76977523904135103</v>
      </c>
      <c r="AF291" s="82">
        <v>10064.766700268921</v>
      </c>
      <c r="AG291" s="80">
        <v>3712.7019986585101</v>
      </c>
      <c r="AH291" s="64">
        <v>115056</v>
      </c>
      <c r="AI291" s="4">
        <v>405.5</v>
      </c>
      <c r="AJ291" s="69">
        <v>330.6</v>
      </c>
      <c r="AK291" s="68">
        <v>77.599999999999994</v>
      </c>
      <c r="AL291" s="74">
        <v>82.781025093008083</v>
      </c>
      <c r="AM291" s="73">
        <v>34944</v>
      </c>
      <c r="AT291" s="68"/>
      <c r="AU291" s="68"/>
      <c r="AV291" s="68"/>
      <c r="AW291" s="68"/>
    </row>
    <row r="292" spans="1:49" ht="16.5" thickBot="1">
      <c r="A292" s="28">
        <v>43435</v>
      </c>
      <c r="B292" s="29">
        <f t="shared" si="12"/>
        <v>12</v>
      </c>
      <c r="C292" s="29">
        <f t="shared" si="13"/>
        <v>4</v>
      </c>
      <c r="D292" s="29">
        <f t="shared" si="14"/>
        <v>2018</v>
      </c>
      <c r="E292" s="11">
        <v>94.332695776700007</v>
      </c>
      <c r="F292" s="52">
        <v>14330</v>
      </c>
      <c r="G292" s="52">
        <v>10640</v>
      </c>
      <c r="H292" s="50">
        <v>7529</v>
      </c>
      <c r="I292" s="47">
        <v>1597</v>
      </c>
      <c r="J292" s="13">
        <v>139.38</v>
      </c>
      <c r="K292" s="42">
        <v>326.7</v>
      </c>
      <c r="L292" s="23">
        <v>49.108499999999999</v>
      </c>
      <c r="M292" s="30">
        <v>94.67</v>
      </c>
      <c r="N292" s="30">
        <v>3.7529000000000003</v>
      </c>
      <c r="O292" s="12">
        <v>1546.8881818181815</v>
      </c>
      <c r="P292" s="12">
        <v>1399.7313636363635</v>
      </c>
      <c r="Q292" s="12">
        <v>6815.451498736842</v>
      </c>
      <c r="R292" s="12">
        <v>2564.5305283157895</v>
      </c>
      <c r="S292" s="34">
        <v>0.17</v>
      </c>
      <c r="T292" s="42">
        <v>129.5</v>
      </c>
      <c r="U292" s="42">
        <v>128.6</v>
      </c>
      <c r="V292" s="42">
        <v>97.7</v>
      </c>
      <c r="W292" s="42">
        <v>143.19999999999999</v>
      </c>
      <c r="X292" s="23">
        <f>[1]ישיר!D281/1000</f>
        <v>13519.539000000001</v>
      </c>
      <c r="Y292" s="23">
        <v>7949.4520000000002</v>
      </c>
      <c r="Z292" s="23">
        <f>[1]עקיף!H281</f>
        <v>1597</v>
      </c>
      <c r="AA292" s="23">
        <f>[1]עקיף!P281</f>
        <v>1605</v>
      </c>
      <c r="AB292" s="23">
        <f>[1]עקיף!Q281</f>
        <v>10731</v>
      </c>
      <c r="AC292" s="60">
        <f>[2]monthly!AY389</f>
        <v>3.6083587986541966E-2</v>
      </c>
      <c r="AD292" s="60">
        <f>[2]monthly!AZ389</f>
        <v>0.8044946610379935</v>
      </c>
      <c r="AE292" s="60">
        <f>[2]monthly!BA389</f>
        <v>0.77549043953315122</v>
      </c>
      <c r="AF292" s="82">
        <v>10008.184754814862</v>
      </c>
      <c r="AG292" s="80">
        <v>3730.2801913360199</v>
      </c>
      <c r="AH292" s="64">
        <v>115279</v>
      </c>
      <c r="AI292" s="4">
        <v>404.7</v>
      </c>
      <c r="AJ292" s="69">
        <v>326.7</v>
      </c>
      <c r="AK292" s="68">
        <v>79.599999999999994</v>
      </c>
      <c r="AL292" s="74">
        <v>82.967813542226239</v>
      </c>
      <c r="AM292" s="73">
        <v>38352</v>
      </c>
      <c r="AT292" s="68"/>
      <c r="AU292" s="68"/>
      <c r="AV292" s="68"/>
      <c r="AW292" s="68"/>
    </row>
    <row r="293" spans="1:49" ht="16.5" thickBot="1">
      <c r="A293" s="28">
        <v>43466</v>
      </c>
      <c r="B293" s="29">
        <f t="shared" si="12"/>
        <v>1</v>
      </c>
      <c r="C293" s="29">
        <f t="shared" si="13"/>
        <v>1</v>
      </c>
      <c r="D293" s="29">
        <f t="shared" si="14"/>
        <v>2019</v>
      </c>
      <c r="E293" s="11">
        <v>94.240413791700007</v>
      </c>
      <c r="F293" s="52">
        <v>15791</v>
      </c>
      <c r="G293" s="52">
        <v>13287</v>
      </c>
      <c r="H293" s="50">
        <v>10368</v>
      </c>
      <c r="I293" s="47">
        <v>1671</v>
      </c>
      <c r="J293" s="13">
        <v>139.11000000000001</v>
      </c>
      <c r="K293" s="42">
        <v>330</v>
      </c>
      <c r="L293" s="23">
        <v>51.396363636363638</v>
      </c>
      <c r="M293" s="30">
        <v>93.09</v>
      </c>
      <c r="N293" s="30">
        <v>3.687045454545455</v>
      </c>
      <c r="O293" s="12">
        <v>1508.1573913043476</v>
      </c>
      <c r="P293" s="12">
        <v>1368.0921739130433</v>
      </c>
      <c r="Q293" s="12">
        <v>6979.6557160952379</v>
      </c>
      <c r="R293" s="12">
        <v>2607.3899800000004</v>
      </c>
      <c r="S293" s="34">
        <v>0.17</v>
      </c>
      <c r="T293" s="42">
        <v>131</v>
      </c>
      <c r="U293" s="42">
        <v>129.4</v>
      </c>
      <c r="V293" s="42">
        <v>95.1</v>
      </c>
      <c r="W293" s="42">
        <v>145.69999999999999</v>
      </c>
      <c r="X293" s="23">
        <f>[1]ישיר!D282/1000</f>
        <v>17051.133000000002</v>
      </c>
      <c r="Y293" s="23">
        <v>9692.0079999999998</v>
      </c>
      <c r="Z293" s="23">
        <f>[1]עקיף!H282</f>
        <v>1671</v>
      </c>
      <c r="AA293" s="23">
        <f>[1]עקיף!P282</f>
        <v>1517</v>
      </c>
      <c r="AB293" s="23">
        <f>[1]עקיף!Q282</f>
        <v>13556</v>
      </c>
      <c r="AC293" s="60">
        <f>[2]monthly!AY390</f>
        <v>3.7141890020617289E-2</v>
      </c>
      <c r="AD293" s="60">
        <f>[2]monthly!AZ390</f>
        <v>0.80539790329376182</v>
      </c>
      <c r="AE293" s="60">
        <f>[2]monthly!BA390</f>
        <v>0.77548390294678926</v>
      </c>
      <c r="AF293" s="82">
        <v>9991.9918319772642</v>
      </c>
      <c r="AG293" s="80">
        <v>3733.5221563410901</v>
      </c>
      <c r="AH293" s="64">
        <v>118153</v>
      </c>
      <c r="AI293" s="4">
        <v>408.3</v>
      </c>
      <c r="AJ293" s="69">
        <v>330.1</v>
      </c>
      <c r="AK293" s="68">
        <v>79.900000000000006</v>
      </c>
      <c r="AL293" s="74">
        <v>83.30325493932817</v>
      </c>
      <c r="AM293" s="73">
        <v>34608</v>
      </c>
      <c r="AT293" s="68"/>
      <c r="AU293" s="68"/>
      <c r="AV293" s="68"/>
      <c r="AW293" s="68"/>
    </row>
    <row r="294" spans="1:49" ht="16.5" thickBot="1">
      <c r="A294" s="28">
        <v>43497</v>
      </c>
      <c r="B294" s="29">
        <f t="shared" si="12"/>
        <v>2</v>
      </c>
      <c r="C294" s="29">
        <f t="shared" si="13"/>
        <v>1</v>
      </c>
      <c r="D294" s="29">
        <f t="shared" si="14"/>
        <v>2019</v>
      </c>
      <c r="E294" s="11">
        <v>94.334560059200001</v>
      </c>
      <c r="F294" s="52">
        <v>13020</v>
      </c>
      <c r="G294" s="52">
        <v>10423</v>
      </c>
      <c r="H294" s="50">
        <v>7088</v>
      </c>
      <c r="I294" s="47">
        <v>1628</v>
      </c>
      <c r="J294" s="13">
        <v>141.37</v>
      </c>
      <c r="K294" s="42">
        <v>334.3</v>
      </c>
      <c r="L294" s="23">
        <v>54.95473684210527</v>
      </c>
      <c r="M294" s="30">
        <v>94.28</v>
      </c>
      <c r="N294" s="30">
        <v>3.6262999999999992</v>
      </c>
      <c r="O294" s="12">
        <v>1562.4044999999999</v>
      </c>
      <c r="P294" s="12">
        <v>1422.6780000000001</v>
      </c>
      <c r="Q294" s="12">
        <v>7430.0773478421052</v>
      </c>
      <c r="R294" s="12">
        <v>2754.8642047894741</v>
      </c>
      <c r="S294" s="34">
        <v>0.17</v>
      </c>
      <c r="T294" s="42">
        <v>131.5</v>
      </c>
      <c r="U294" s="42">
        <v>131.19999999999999</v>
      </c>
      <c r="V294" s="42">
        <v>96</v>
      </c>
      <c r="W294" s="42">
        <v>146.4</v>
      </c>
      <c r="X294" s="23">
        <f>[1]ישיר!D283/1000</f>
        <v>12337.137000000001</v>
      </c>
      <c r="Y294" s="23">
        <v>8019.4920000000002</v>
      </c>
      <c r="Z294" s="23">
        <f>[1]עקיף!H283</f>
        <v>1628</v>
      </c>
      <c r="AA294" s="23">
        <f>[1]עקיף!P283</f>
        <v>1406</v>
      </c>
      <c r="AB294" s="23">
        <f>[1]עקיף!Q283</f>
        <v>10122</v>
      </c>
      <c r="AC294" s="60">
        <f>[2]monthly!AY391</f>
        <v>3.5872235872235869E-2</v>
      </c>
      <c r="AD294" s="60">
        <f>[2]monthly!AZ391</f>
        <v>0.80761980355193974</v>
      </c>
      <c r="AE294" s="60">
        <f>[2]monthly!BA391</f>
        <v>0.77862387141581502</v>
      </c>
      <c r="AF294" s="82">
        <v>10030.691051361866</v>
      </c>
      <c r="AG294" s="80">
        <v>3739.1560464686299</v>
      </c>
      <c r="AH294" s="64">
        <v>117939</v>
      </c>
      <c r="AI294" s="4">
        <v>409.6</v>
      </c>
      <c r="AJ294" s="69">
        <v>334</v>
      </c>
      <c r="AK294" s="68">
        <v>80.400000000000006</v>
      </c>
      <c r="AL294" s="74">
        <v>83.649809763162892</v>
      </c>
      <c r="AM294" s="73">
        <v>37704</v>
      </c>
      <c r="AT294" s="68"/>
      <c r="AU294" s="68"/>
      <c r="AV294" s="68"/>
      <c r="AW294" s="68"/>
    </row>
    <row r="295" spans="1:49" ht="16.5" thickBot="1">
      <c r="A295" s="28">
        <v>43525</v>
      </c>
      <c r="B295" s="29">
        <f t="shared" si="12"/>
        <v>3</v>
      </c>
      <c r="C295" s="29">
        <f t="shared" si="13"/>
        <v>1</v>
      </c>
      <c r="D295" s="29">
        <f t="shared" si="14"/>
        <v>2019</v>
      </c>
      <c r="E295" s="11">
        <v>94.805291396800001</v>
      </c>
      <c r="F295" s="52">
        <v>14044</v>
      </c>
      <c r="G295" s="52">
        <v>14249</v>
      </c>
      <c r="H295" s="50">
        <v>9517</v>
      </c>
      <c r="I295" s="47">
        <v>3118</v>
      </c>
      <c r="J295" s="13">
        <v>141.41</v>
      </c>
      <c r="K295" s="42">
        <v>333.7</v>
      </c>
      <c r="L295" s="23">
        <v>58.151428571428575</v>
      </c>
      <c r="M295" s="30">
        <v>95.4</v>
      </c>
      <c r="N295" s="30">
        <v>3.618631578947368</v>
      </c>
      <c r="O295" s="12">
        <v>1550.4839999999999</v>
      </c>
      <c r="P295" s="12">
        <v>1417.9739999999997</v>
      </c>
      <c r="Q295" s="12">
        <v>7629.366652714285</v>
      </c>
      <c r="R295" s="12">
        <v>2803.9837935714286</v>
      </c>
      <c r="S295" s="34">
        <v>0.17</v>
      </c>
      <c r="T295" s="42">
        <v>130.80000000000001</v>
      </c>
      <c r="U295" s="42">
        <v>129.9</v>
      </c>
      <c r="V295" s="42">
        <v>94.1</v>
      </c>
      <c r="W295" s="42">
        <v>145.69999999999999</v>
      </c>
      <c r="X295" s="23">
        <f>[1]ישיר!D284/1000</f>
        <v>14236.103999999999</v>
      </c>
      <c r="Y295" s="23">
        <v>8450.7109999999993</v>
      </c>
      <c r="Z295" s="23">
        <f>[1]עקיף!H284</f>
        <v>3118</v>
      </c>
      <c r="AA295" s="23">
        <f>[1]עקיף!P284</f>
        <v>1731</v>
      </c>
      <c r="AB295" s="23">
        <f>[1]עקיף!Q284</f>
        <v>14366</v>
      </c>
      <c r="AC295" s="60">
        <f>[2]monthly!AY392</f>
        <v>3.3074887699218514E-2</v>
      </c>
      <c r="AD295" s="60">
        <f>[2]monthly!AZ392</f>
        <v>0.80628116395028648</v>
      </c>
      <c r="AE295" s="60">
        <f>[2]monthly!BA392</f>
        <v>0.77961350499863558</v>
      </c>
      <c r="AF295" s="82">
        <v>10090.146500220362</v>
      </c>
      <c r="AG295" s="80">
        <v>3723.9388340054497</v>
      </c>
      <c r="AH295" s="64">
        <v>118219</v>
      </c>
      <c r="AI295" s="4">
        <v>410.8</v>
      </c>
      <c r="AJ295" s="69">
        <v>333.4</v>
      </c>
      <c r="AK295" s="68">
        <v>80.900000000000006</v>
      </c>
      <c r="AL295" s="74">
        <v>84.103058043204229</v>
      </c>
      <c r="AM295" s="73">
        <v>39648</v>
      </c>
      <c r="AT295" s="68"/>
      <c r="AU295" s="68"/>
      <c r="AV295" s="68"/>
      <c r="AW295" s="68"/>
    </row>
    <row r="296" spans="1:49" ht="16.5" thickBot="1">
      <c r="A296" s="28">
        <v>43556</v>
      </c>
      <c r="B296" s="29">
        <f t="shared" si="12"/>
        <v>4</v>
      </c>
      <c r="C296" s="29">
        <f t="shared" si="13"/>
        <v>2</v>
      </c>
      <c r="D296" s="29">
        <f t="shared" si="14"/>
        <v>2019</v>
      </c>
      <c r="E296" s="11">
        <v>95.087730199399999</v>
      </c>
      <c r="F296" s="52">
        <v>14185</v>
      </c>
      <c r="G296" s="52">
        <v>8923</v>
      </c>
      <c r="H296" s="50">
        <v>5959</v>
      </c>
      <c r="I296" s="44">
        <v>1242</v>
      </c>
      <c r="J296" s="13">
        <v>142.12</v>
      </c>
      <c r="K296" s="42">
        <v>339.1</v>
      </c>
      <c r="L296" s="23">
        <v>63.862380952380946</v>
      </c>
      <c r="M296" s="30">
        <v>95.93</v>
      </c>
      <c r="N296" s="30">
        <v>3.5946111111111114</v>
      </c>
      <c r="O296" s="12">
        <v>1586.866</v>
      </c>
      <c r="P296" s="12">
        <v>1460.0585000000001</v>
      </c>
      <c r="Q296" s="12">
        <v>7994.9209216666668</v>
      </c>
      <c r="R296" s="12">
        <v>2903.7999790476192</v>
      </c>
      <c r="S296" s="34">
        <v>0.17</v>
      </c>
      <c r="T296" s="42">
        <v>134.6</v>
      </c>
      <c r="U296" s="42">
        <v>134.6</v>
      </c>
      <c r="V296" s="42">
        <v>98</v>
      </c>
      <c r="W296" s="42">
        <v>147.5</v>
      </c>
      <c r="X296" s="23">
        <f>[1]ישיר!D285/1000</f>
        <v>14130.79</v>
      </c>
      <c r="Y296" s="23">
        <v>9000.5</v>
      </c>
      <c r="Z296" s="23">
        <f>[1]עקיף!H285</f>
        <v>1242</v>
      </c>
      <c r="AA296" s="23">
        <f>[1]עקיף!P285</f>
        <v>1582</v>
      </c>
      <c r="AB296" s="23">
        <f>[1]עקיף!Q285</f>
        <v>8783</v>
      </c>
      <c r="AC296" s="60">
        <f>[2]monthly!AY393</f>
        <v>3.4532595325953257E-2</v>
      </c>
      <c r="AD296" s="60">
        <f>[2]monthly!AZ393</f>
        <v>0.8060678167757287</v>
      </c>
      <c r="AE296" s="60">
        <f>[2]monthly!BA393</f>
        <v>0.77825698988697212</v>
      </c>
      <c r="AF296" s="82">
        <v>10088.208546780073</v>
      </c>
      <c r="AG296" s="80">
        <v>3746.25491023309</v>
      </c>
      <c r="AH296" s="64">
        <v>118743</v>
      </c>
      <c r="AI296" s="4">
        <v>412.9</v>
      </c>
      <c r="AJ296" s="69">
        <v>339.1</v>
      </c>
      <c r="AK296" s="68">
        <v>81.599999999999994</v>
      </c>
      <c r="AL296" s="74">
        <v>84.273712435810992</v>
      </c>
      <c r="AM296" s="73">
        <v>37608</v>
      </c>
      <c r="AT296" s="68"/>
      <c r="AU296" s="68"/>
      <c r="AV296" s="68"/>
      <c r="AW296" s="68"/>
    </row>
    <row r="297" spans="1:49" ht="16.5" thickBot="1">
      <c r="A297" s="28">
        <v>43586</v>
      </c>
      <c r="B297" s="29">
        <f t="shared" si="12"/>
        <v>5</v>
      </c>
      <c r="C297" s="29">
        <f t="shared" si="13"/>
        <v>2</v>
      </c>
      <c r="D297" s="29">
        <f t="shared" si="14"/>
        <v>2019</v>
      </c>
      <c r="E297" s="11">
        <v>95.746754072100003</v>
      </c>
      <c r="F297" s="52">
        <v>14837</v>
      </c>
      <c r="G297" s="52">
        <v>13416</v>
      </c>
      <c r="H297" s="50">
        <v>10092</v>
      </c>
      <c r="I297" s="44">
        <v>1336</v>
      </c>
      <c r="J297" s="13">
        <v>142.49</v>
      </c>
      <c r="K297" s="42">
        <v>337.8</v>
      </c>
      <c r="L297" s="23">
        <v>60.826818181818183</v>
      </c>
      <c r="M297" s="30">
        <v>96.76</v>
      </c>
      <c r="N297" s="30">
        <v>3.593238095238096</v>
      </c>
      <c r="O297" s="12">
        <v>1567.4110000000001</v>
      </c>
      <c r="P297" s="12">
        <v>1448.2775000000001</v>
      </c>
      <c r="Q297" s="12">
        <v>7804.8208674545467</v>
      </c>
      <c r="R297" s="12">
        <v>2854.7059104545456</v>
      </c>
      <c r="S297" s="34">
        <v>0.17</v>
      </c>
      <c r="T297" s="42">
        <v>132.30000000000001</v>
      </c>
      <c r="U297" s="42">
        <v>130.80000000000001</v>
      </c>
      <c r="V297" s="42">
        <v>96.2</v>
      </c>
      <c r="W297" s="42">
        <v>140.4</v>
      </c>
      <c r="X297" s="23">
        <f>[1]ישיר!D286/1000</f>
        <v>14855.712</v>
      </c>
      <c r="Y297" s="23">
        <v>9054.0339999999997</v>
      </c>
      <c r="Z297" s="23">
        <f>[1]עקיף!H286</f>
        <v>1336</v>
      </c>
      <c r="AA297" s="23">
        <f>[1]עקיף!P286</f>
        <v>1734</v>
      </c>
      <c r="AB297" s="23">
        <f>[1]עקיף!Q286</f>
        <v>13162</v>
      </c>
      <c r="AC297" s="60">
        <f>[2]monthly!AY394</f>
        <v>3.2793932508367367E-2</v>
      </c>
      <c r="AD297" s="60">
        <f>[2]monthly!AZ394</f>
        <v>0.80515723892405056</v>
      </c>
      <c r="AE297" s="60">
        <f>[2]monthly!BA394</f>
        <v>0.77875296677215189</v>
      </c>
      <c r="AF297" s="82">
        <v>10133.947599146668</v>
      </c>
      <c r="AG297" s="80">
        <v>3727.9329623101398</v>
      </c>
      <c r="AH297" s="64">
        <v>118124</v>
      </c>
      <c r="AI297" s="4">
        <v>414.1</v>
      </c>
      <c r="AJ297" s="69">
        <v>337.8</v>
      </c>
      <c r="AK297" s="68">
        <v>80.3</v>
      </c>
      <c r="AL297" s="74">
        <v>84.319021475666304</v>
      </c>
      <c r="AM297" s="73">
        <v>38676</v>
      </c>
      <c r="AT297" s="68"/>
      <c r="AU297" s="68"/>
      <c r="AV297" s="68"/>
      <c r="AW297" s="68"/>
    </row>
    <row r="298" spans="1:49" ht="16.5" thickBot="1">
      <c r="A298" s="28">
        <v>43617</v>
      </c>
      <c r="B298" s="29">
        <f t="shared" si="12"/>
        <v>6</v>
      </c>
      <c r="C298" s="29">
        <f t="shared" si="13"/>
        <v>2</v>
      </c>
      <c r="D298" s="29">
        <f t="shared" si="14"/>
        <v>2019</v>
      </c>
      <c r="E298" s="11">
        <v>95.181876466899993</v>
      </c>
      <c r="F298" s="52">
        <v>12653</v>
      </c>
      <c r="G298" s="52">
        <v>9723</v>
      </c>
      <c r="H298" s="50">
        <v>6850</v>
      </c>
      <c r="I298" s="47">
        <v>1363</v>
      </c>
      <c r="J298" s="13">
        <v>139.69999999999999</v>
      </c>
      <c r="K298" s="42">
        <v>342.6</v>
      </c>
      <c r="L298" s="23">
        <v>54.657500000000006</v>
      </c>
      <c r="M298" s="30">
        <v>98.22</v>
      </c>
      <c r="N298" s="30">
        <v>3.5972999999999997</v>
      </c>
      <c r="O298" s="12">
        <v>1558.6415000000002</v>
      </c>
      <c r="P298" s="12">
        <v>1447.8515000000002</v>
      </c>
      <c r="Q298" s="12">
        <v>7825.4590088499999</v>
      </c>
      <c r="R298" s="12">
        <v>2890.1659790500003</v>
      </c>
      <c r="S298" s="34">
        <v>0.17</v>
      </c>
      <c r="T298" s="42">
        <v>134.5</v>
      </c>
      <c r="U298" s="42">
        <v>132.4</v>
      </c>
      <c r="V298" s="42">
        <v>96.9</v>
      </c>
      <c r="W298" s="42">
        <v>145</v>
      </c>
      <c r="X298" s="23">
        <f>[1]ישיר!D287/1000</f>
        <v>12427.083000000001</v>
      </c>
      <c r="Y298" s="23">
        <v>7648.7240000000002</v>
      </c>
      <c r="Z298" s="23">
        <f>[1]עקיף!H287</f>
        <v>1363</v>
      </c>
      <c r="AA298" s="23">
        <f>[1]עקיף!P287</f>
        <v>1700</v>
      </c>
      <c r="AB298" s="23">
        <f>[1]עקיף!Q287</f>
        <v>9913</v>
      </c>
      <c r="AC298" s="60">
        <f>[2]monthly!AY395</f>
        <v>3.4261967061720792E-2</v>
      </c>
      <c r="AD298" s="60">
        <f>[2]monthly!AZ395</f>
        <v>0.80366641102397274</v>
      </c>
      <c r="AE298" s="60">
        <f>[2]monthly!BA395</f>
        <v>0.7761312189208579</v>
      </c>
      <c r="AF298" s="82">
        <v>10168.049076188454</v>
      </c>
      <c r="AG298" s="80">
        <v>3729.5655444363001</v>
      </c>
      <c r="AH298" s="64">
        <v>120108</v>
      </c>
      <c r="AI298" s="4">
        <v>413.7</v>
      </c>
      <c r="AJ298" s="69">
        <v>342.6</v>
      </c>
      <c r="AK298" s="68">
        <v>80.099999999999994</v>
      </c>
      <c r="AL298" s="74">
        <v>84.673752149786282</v>
      </c>
      <c r="AM298" s="73">
        <v>38616</v>
      </c>
      <c r="AT298" s="68"/>
      <c r="AU298" s="68"/>
      <c r="AV298" s="68"/>
      <c r="AW298" s="68"/>
    </row>
    <row r="299" spans="1:49" ht="16.5" thickBot="1">
      <c r="A299" s="28">
        <v>43647</v>
      </c>
      <c r="B299" s="29">
        <f t="shared" si="12"/>
        <v>7</v>
      </c>
      <c r="C299" s="29">
        <f t="shared" si="13"/>
        <v>3</v>
      </c>
      <c r="D299" s="29">
        <f t="shared" si="14"/>
        <v>2019</v>
      </c>
      <c r="E299" s="11">
        <v>94.899437664299995</v>
      </c>
      <c r="F299" s="52">
        <v>14747</v>
      </c>
      <c r="G299" s="52">
        <v>14108</v>
      </c>
      <c r="H299" s="50">
        <v>10590</v>
      </c>
      <c r="I299" s="47">
        <v>1608</v>
      </c>
      <c r="J299" s="12">
        <v>139.21</v>
      </c>
      <c r="K299" s="42">
        <v>348.6</v>
      </c>
      <c r="L299" s="23">
        <v>57.358095238095224</v>
      </c>
      <c r="M299" s="30">
        <v>96.9</v>
      </c>
      <c r="N299" s="30">
        <v>3.5446521739130437</v>
      </c>
      <c r="O299" s="12">
        <v>1597.8295652173913</v>
      </c>
      <c r="P299" s="12">
        <v>1488.121304347826</v>
      </c>
      <c r="Q299" s="12">
        <v>8205.5986771363641</v>
      </c>
      <c r="R299" s="12">
        <v>2996.1136363636365</v>
      </c>
      <c r="S299" s="34">
        <v>0.17</v>
      </c>
      <c r="T299" s="42">
        <v>133.80000000000001</v>
      </c>
      <c r="U299" s="42">
        <v>133.6</v>
      </c>
      <c r="V299" s="42">
        <v>98.7</v>
      </c>
      <c r="W299" s="42">
        <v>145.30000000000001</v>
      </c>
      <c r="X299" s="23">
        <f>[1]ישיר!D288/1000</f>
        <v>15260.343000000001</v>
      </c>
      <c r="Y299" s="23">
        <v>9461.8310000000001</v>
      </c>
      <c r="Z299" s="23">
        <f>[1]עקיף!H288</f>
        <v>1608</v>
      </c>
      <c r="AA299" s="23">
        <f>[1]עקיף!P288</f>
        <v>1855</v>
      </c>
      <c r="AB299" s="23">
        <f>[1]עקיף!Q288</f>
        <v>14053</v>
      </c>
      <c r="AC299" s="60">
        <f>[2]monthly!AY396</f>
        <v>3.3242117047080043E-2</v>
      </c>
      <c r="AD299" s="60">
        <f>[2]monthly!AZ396</f>
        <v>0.7943581256329818</v>
      </c>
      <c r="AE299" s="60">
        <f>[2]monthly!BA396</f>
        <v>0.76797668157004173</v>
      </c>
      <c r="AF299" s="82">
        <v>10303.920282999321</v>
      </c>
      <c r="AG299" s="80">
        <v>3725.6812096443</v>
      </c>
      <c r="AH299" s="64">
        <v>119994</v>
      </c>
      <c r="AI299" s="4">
        <v>414.9</v>
      </c>
      <c r="AJ299" s="69">
        <v>348.6</v>
      </c>
      <c r="AK299" s="68">
        <v>82.1</v>
      </c>
      <c r="AL299" s="74">
        <v>84.877195243347458</v>
      </c>
      <c r="AM299" s="73">
        <v>40632</v>
      </c>
      <c r="AT299" s="68"/>
      <c r="AU299" s="68"/>
      <c r="AV299" s="68"/>
      <c r="AW299" s="68"/>
    </row>
    <row r="300" spans="1:49" ht="16.5" thickBot="1">
      <c r="A300" s="28">
        <v>43678</v>
      </c>
      <c r="B300" s="29">
        <f t="shared" si="12"/>
        <v>8</v>
      </c>
      <c r="C300" s="29">
        <f t="shared" si="13"/>
        <v>3</v>
      </c>
      <c r="D300" s="29">
        <f t="shared" si="14"/>
        <v>2019</v>
      </c>
      <c r="E300" s="11">
        <v>95.087730199399999</v>
      </c>
      <c r="F300" s="52">
        <v>13727</v>
      </c>
      <c r="G300" s="52">
        <v>10227</v>
      </c>
      <c r="H300" s="50">
        <v>6819</v>
      </c>
      <c r="I300" s="44">
        <v>1506</v>
      </c>
      <c r="J300" s="12">
        <v>142.15</v>
      </c>
      <c r="K300" s="42">
        <v>344.3</v>
      </c>
      <c r="L300" s="23">
        <v>54.80590909090909</v>
      </c>
      <c r="M300" s="30">
        <v>97.91</v>
      </c>
      <c r="N300" s="30">
        <v>3.5112272727272726</v>
      </c>
      <c r="O300" s="12">
        <v>1581.9385</v>
      </c>
      <c r="P300" s="12">
        <v>1486.0739999999996</v>
      </c>
      <c r="Q300" s="12">
        <v>7910.9332386363621</v>
      </c>
      <c r="R300" s="12">
        <v>2897.4504505454543</v>
      </c>
      <c r="S300" s="34">
        <v>0.17</v>
      </c>
      <c r="T300" s="42">
        <v>131.6</v>
      </c>
      <c r="U300" s="42">
        <v>128.30000000000001</v>
      </c>
      <c r="V300" s="42">
        <v>93.8</v>
      </c>
      <c r="W300" s="42">
        <v>139.80000000000001</v>
      </c>
      <c r="X300" s="23">
        <f>[1]ישיר!D289/1000</f>
        <v>13317.794</v>
      </c>
      <c r="Y300" s="23">
        <v>8157.7839999999997</v>
      </c>
      <c r="Z300" s="23">
        <f>[1]עקיף!H289</f>
        <v>1506</v>
      </c>
      <c r="AA300" s="23">
        <f>[1]עקיף!P289</f>
        <v>1757</v>
      </c>
      <c r="AB300" s="23">
        <f>[1]עקיף!Q289</f>
        <v>10082</v>
      </c>
      <c r="AC300" s="60">
        <f>[2]monthly!AY397</f>
        <v>3.2086220169361045E-2</v>
      </c>
      <c r="AD300" s="60">
        <f>[2]monthly!AZ397</f>
        <v>0.80090263391535954</v>
      </c>
      <c r="AE300" s="60">
        <f>[2]monthly!BA397</f>
        <v>0.77520469566933015</v>
      </c>
      <c r="AF300" s="82">
        <v>10241.314423125577</v>
      </c>
      <c r="AG300" s="80">
        <v>3713.9441676746796</v>
      </c>
      <c r="AH300" s="64">
        <v>119812</v>
      </c>
      <c r="AI300" s="4">
        <v>414.5</v>
      </c>
      <c r="AJ300" s="69">
        <v>344.2</v>
      </c>
      <c r="AK300" s="68">
        <v>80.599999999999994</v>
      </c>
      <c r="AL300" s="74">
        <v>84.816804470470046</v>
      </c>
      <c r="AM300" s="73">
        <v>40260</v>
      </c>
      <c r="AT300" s="68"/>
      <c r="AU300" s="68"/>
      <c r="AV300" s="68"/>
      <c r="AW300" s="68"/>
    </row>
    <row r="301" spans="1:49" ht="16.5" thickBot="1">
      <c r="A301" s="28">
        <v>43709</v>
      </c>
      <c r="B301" s="29">
        <f t="shared" si="12"/>
        <v>9</v>
      </c>
      <c r="C301" s="29">
        <f t="shared" si="13"/>
        <v>3</v>
      </c>
      <c r="D301" s="29">
        <f t="shared" si="14"/>
        <v>2019</v>
      </c>
      <c r="E301" s="11">
        <v>94.899437664299995</v>
      </c>
      <c r="F301" s="52">
        <v>14335</v>
      </c>
      <c r="G301" s="52">
        <v>13058</v>
      </c>
      <c r="H301" s="50">
        <v>9786</v>
      </c>
      <c r="I301" s="44">
        <v>1606</v>
      </c>
      <c r="J301" s="13">
        <v>141.62</v>
      </c>
      <c r="K301" s="42">
        <v>352.1</v>
      </c>
      <c r="L301" s="23">
        <v>56.946999999999989</v>
      </c>
      <c r="M301" s="30">
        <v>100.06</v>
      </c>
      <c r="N301" s="30">
        <v>3.5240526315789471</v>
      </c>
      <c r="O301" s="12">
        <v>1591.628947368421</v>
      </c>
      <c r="P301" s="12">
        <v>1505.3084210526315</v>
      </c>
      <c r="Q301" s="12">
        <v>8087.6999756499981</v>
      </c>
      <c r="R301" s="12">
        <v>2982.1560058500004</v>
      </c>
      <c r="S301" s="34">
        <v>0.17</v>
      </c>
      <c r="T301" s="42">
        <v>133.4</v>
      </c>
      <c r="U301" s="42">
        <v>134.19999999999999</v>
      </c>
      <c r="V301" s="42">
        <v>99.3</v>
      </c>
      <c r="W301" s="42">
        <v>143.69999999999999</v>
      </c>
      <c r="X301" s="23">
        <f>[1]ישיר!D290/1000</f>
        <v>14234.687</v>
      </c>
      <c r="Y301" s="23">
        <v>8686.36</v>
      </c>
      <c r="Z301" s="23">
        <f>[1]עקיף!H290</f>
        <v>1606</v>
      </c>
      <c r="AA301" s="23">
        <f>[1]עקיף!P290</f>
        <v>1819</v>
      </c>
      <c r="AB301" s="23">
        <f>[1]עקיף!Q290</f>
        <v>13211</v>
      </c>
      <c r="AC301" s="60">
        <f>[2]monthly!AY398</f>
        <v>3.1789171527162791E-2</v>
      </c>
      <c r="AD301" s="60">
        <f>[2]monthly!AZ398</f>
        <v>0.80665582816040982</v>
      </c>
      <c r="AE301" s="60">
        <f>[2]monthly!BA398</f>
        <v>0.78101290767563303</v>
      </c>
      <c r="AF301" s="82">
        <v>10249.217785428165</v>
      </c>
      <c r="AG301" s="80">
        <v>3769.5046242482099</v>
      </c>
      <c r="AH301" s="64">
        <v>119469</v>
      </c>
      <c r="AI301" s="4">
        <v>416.6</v>
      </c>
      <c r="AJ301" s="69">
        <v>352.2</v>
      </c>
      <c r="AK301" s="68">
        <v>81.099999999999994</v>
      </c>
      <c r="AL301" s="74">
        <v>85.12085428651919</v>
      </c>
      <c r="AM301" s="73">
        <v>43848</v>
      </c>
      <c r="AT301" s="68"/>
      <c r="AU301" s="68"/>
      <c r="AV301" s="68"/>
      <c r="AW301" s="68"/>
    </row>
    <row r="302" spans="1:49" ht="16.5" thickBot="1">
      <c r="A302" s="28">
        <v>43739</v>
      </c>
      <c r="B302" s="29">
        <f t="shared" si="12"/>
        <v>10</v>
      </c>
      <c r="C302" s="29">
        <f t="shared" si="13"/>
        <v>4</v>
      </c>
      <c r="D302" s="29">
        <f t="shared" si="14"/>
        <v>2019</v>
      </c>
      <c r="E302" s="11">
        <v>95.276022734400001</v>
      </c>
      <c r="F302" s="52">
        <v>11579</v>
      </c>
      <c r="G302" s="52">
        <v>9779</v>
      </c>
      <c r="H302" s="50">
        <v>6580</v>
      </c>
      <c r="I302" s="44">
        <v>1463</v>
      </c>
      <c r="J302" s="13">
        <v>139.88</v>
      </c>
      <c r="K302" s="42">
        <v>351.6</v>
      </c>
      <c r="L302" s="23">
        <v>53.96304347826085</v>
      </c>
      <c r="M302" s="30">
        <v>99.64</v>
      </c>
      <c r="N302" s="30">
        <v>3.5192222222222225</v>
      </c>
      <c r="O302" s="12">
        <v>1638.1775</v>
      </c>
      <c r="P302" s="12">
        <v>1559.2618749999999</v>
      </c>
      <c r="Q302" s="12">
        <v>8079.2782990869564</v>
      </c>
      <c r="R302" s="12">
        <v>2977.6751975217389</v>
      </c>
      <c r="S302" s="34">
        <v>0.17</v>
      </c>
      <c r="T302" s="42">
        <v>136.80000000000001</v>
      </c>
      <c r="U302" s="42">
        <v>136.4</v>
      </c>
      <c r="V302" s="42">
        <v>99</v>
      </c>
      <c r="W302" s="42">
        <v>150.30000000000001</v>
      </c>
      <c r="X302" s="23">
        <f>[1]ישיר!D291/1000</f>
        <v>10723.355</v>
      </c>
      <c r="Y302" s="23">
        <v>6545.6880000000001</v>
      </c>
      <c r="Z302" s="23">
        <f>[1]עקיף!H291</f>
        <v>1463</v>
      </c>
      <c r="AA302" s="23">
        <f>[1]עקיף!P291</f>
        <v>1464</v>
      </c>
      <c r="AB302" s="23">
        <f>[1]עקיף!Q291</f>
        <v>9507</v>
      </c>
      <c r="AC302" s="60">
        <f>[2]monthly!AY399</f>
        <v>3.0675410639862712E-2</v>
      </c>
      <c r="AD302" s="60">
        <f>[2]monthly!AZ399</f>
        <v>0.80174934276799092</v>
      </c>
      <c r="AE302" s="60">
        <f>[2]monthly!BA399</f>
        <v>0.77715535244834277</v>
      </c>
      <c r="AF302" s="82">
        <v>10265.417059571359</v>
      </c>
      <c r="AG302" s="80">
        <v>3744.26764218264</v>
      </c>
      <c r="AH302" s="64">
        <v>121361</v>
      </c>
      <c r="AI302" s="4">
        <v>418.7</v>
      </c>
      <c r="AJ302" s="69">
        <v>351.7</v>
      </c>
      <c r="AK302" s="68">
        <v>84.3</v>
      </c>
      <c r="AL302" s="74">
        <v>85.706384254497593</v>
      </c>
      <c r="AM302" s="73">
        <v>44280</v>
      </c>
      <c r="AT302" s="68"/>
      <c r="AU302" s="68"/>
      <c r="AV302" s="68"/>
      <c r="AW302" s="68"/>
    </row>
    <row r="303" spans="1:49" ht="16.5" thickBot="1">
      <c r="A303" s="28">
        <v>43770</v>
      </c>
      <c r="B303" s="29">
        <f t="shared" si="12"/>
        <v>11</v>
      </c>
      <c r="C303" s="29">
        <f t="shared" si="13"/>
        <v>4</v>
      </c>
      <c r="D303" s="29">
        <f t="shared" si="14"/>
        <v>2019</v>
      </c>
      <c r="E303" s="11">
        <v>94.899437664299995</v>
      </c>
      <c r="F303" s="52">
        <v>15093</v>
      </c>
      <c r="G303" s="52">
        <v>12650</v>
      </c>
      <c r="H303" s="50">
        <v>9997</v>
      </c>
      <c r="I303" s="47">
        <v>1387</v>
      </c>
      <c r="J303" s="13">
        <v>139.88999999999999</v>
      </c>
      <c r="K303" s="42">
        <v>353.8</v>
      </c>
      <c r="L303" s="23">
        <v>56.96947368421052</v>
      </c>
      <c r="M303" s="30">
        <v>99.5</v>
      </c>
      <c r="N303" s="30">
        <v>3.4826190476190479</v>
      </c>
      <c r="O303" s="12">
        <v>1670.4239999999998</v>
      </c>
      <c r="P303" s="12">
        <v>1591.8039999999999</v>
      </c>
      <c r="Q303" s="12">
        <v>8517.5774414499992</v>
      </c>
      <c r="R303" s="12">
        <v>3104.9044922499997</v>
      </c>
      <c r="S303" s="34">
        <v>0.17</v>
      </c>
      <c r="T303" s="42">
        <v>134.9</v>
      </c>
      <c r="U303" s="42">
        <v>134.69999999999999</v>
      </c>
      <c r="V303" s="42">
        <v>99.4</v>
      </c>
      <c r="W303" s="42">
        <v>150.80000000000001</v>
      </c>
      <c r="X303" s="23">
        <f>[1]ישיר!D292/1000</f>
        <v>16195.269</v>
      </c>
      <c r="Y303" s="23">
        <v>9704.14</v>
      </c>
      <c r="Z303" s="23">
        <f>[1]עקיף!H292</f>
        <v>1387</v>
      </c>
      <c r="AA303" s="23">
        <f>[1]עקיף!P292</f>
        <v>1589</v>
      </c>
      <c r="AB303" s="23">
        <f>[1]עקיף!Q292</f>
        <v>12973</v>
      </c>
      <c r="AC303" s="60">
        <f>[2]monthly!AY400</f>
        <v>3.3828759004285586E-2</v>
      </c>
      <c r="AD303" s="60">
        <f>[2]monthly!AZ400</f>
        <v>0.80691126698386217</v>
      </c>
      <c r="AE303" s="60">
        <f>[2]monthly!BA400</f>
        <v>0.77961446019522251</v>
      </c>
      <c r="AF303" s="82">
        <v>10259.937422127708</v>
      </c>
      <c r="AG303" s="80">
        <v>3764.2117354944103</v>
      </c>
      <c r="AH303" s="64">
        <v>122383</v>
      </c>
      <c r="AI303" s="4">
        <v>419.1</v>
      </c>
      <c r="AJ303" s="69">
        <v>353.7</v>
      </c>
      <c r="AK303" s="68">
        <v>82.8</v>
      </c>
      <c r="AL303" s="74">
        <v>86.201397549534803</v>
      </c>
      <c r="AM303" s="73">
        <v>42108</v>
      </c>
      <c r="AT303" s="68"/>
      <c r="AU303" s="68"/>
      <c r="AV303" s="68"/>
      <c r="AW303" s="68"/>
    </row>
    <row r="304" spans="1:49" ht="16.5" thickBot="1">
      <c r="A304" s="28">
        <v>43800</v>
      </c>
      <c r="B304" s="29">
        <f t="shared" si="12"/>
        <v>12</v>
      </c>
      <c r="C304" s="29">
        <f t="shared" si="13"/>
        <v>4</v>
      </c>
      <c r="D304" s="29">
        <f t="shared" si="14"/>
        <v>2019</v>
      </c>
      <c r="E304" s="11">
        <v>94.899437664299995</v>
      </c>
      <c r="F304" s="52">
        <v>14011</v>
      </c>
      <c r="G304" s="52">
        <v>11586</v>
      </c>
      <c r="H304" s="50">
        <v>7172</v>
      </c>
      <c r="I304" s="47">
        <v>2887</v>
      </c>
      <c r="J304" s="13">
        <v>140.46</v>
      </c>
      <c r="K304" s="42">
        <v>364.3</v>
      </c>
      <c r="L304" s="23">
        <v>59.816666666666663</v>
      </c>
      <c r="M304" s="30">
        <v>99.79</v>
      </c>
      <c r="N304" s="30">
        <v>3.4754285714285711</v>
      </c>
      <c r="O304" s="12">
        <v>1685.0704347826088</v>
      </c>
      <c r="P304" s="12">
        <v>1612.2221739130432</v>
      </c>
      <c r="Q304" s="12">
        <v>8778.5919363809535</v>
      </c>
      <c r="R304" s="12">
        <v>3176.7495118095235</v>
      </c>
      <c r="S304" s="34">
        <v>0.17</v>
      </c>
      <c r="T304" s="42">
        <v>138</v>
      </c>
      <c r="U304" s="42">
        <v>136.69999999999999</v>
      </c>
      <c r="V304" s="42">
        <v>98.1</v>
      </c>
      <c r="W304" s="42">
        <v>148.5</v>
      </c>
      <c r="X304" s="23">
        <f>[1]ישיר!D293/1000</f>
        <v>13835.445</v>
      </c>
      <c r="Y304" s="23">
        <v>8431.5859999999993</v>
      </c>
      <c r="Z304" s="23">
        <f>[1]עקיף!H293</f>
        <v>2887</v>
      </c>
      <c r="AA304" s="23">
        <f>[1]עקיף!P293</f>
        <v>1642</v>
      </c>
      <c r="AB304" s="23">
        <f>[1]עקיף!Q293</f>
        <v>11701</v>
      </c>
      <c r="AC304" s="60">
        <f>[2]monthly!AY401</f>
        <v>3.1878732200275608E-2</v>
      </c>
      <c r="AD304" s="60">
        <f>[2]monthly!AZ401</f>
        <v>0.80019113430860833</v>
      </c>
      <c r="AE304" s="60">
        <f>[2]monthly!BA401</f>
        <v>0.77468205542894952</v>
      </c>
      <c r="AF304" s="82">
        <v>10190.245114729083</v>
      </c>
      <c r="AG304" s="80">
        <v>3794.7330073154699</v>
      </c>
      <c r="AH304" s="64">
        <v>126014</v>
      </c>
      <c r="AI304" s="4">
        <v>421.6</v>
      </c>
      <c r="AJ304" s="69">
        <v>364.3</v>
      </c>
      <c r="AK304" s="68">
        <v>83.3</v>
      </c>
      <c r="AL304" s="74">
        <v>86.722563762783324</v>
      </c>
      <c r="AM304" s="73">
        <v>40800</v>
      </c>
      <c r="AT304" s="68"/>
      <c r="AU304" s="68"/>
      <c r="AV304" s="68"/>
      <c r="AW304" s="68"/>
    </row>
    <row r="305" spans="1:49" ht="16.5" thickBot="1">
      <c r="A305" s="28">
        <v>43831</v>
      </c>
      <c r="B305" s="29">
        <f t="shared" si="12"/>
        <v>1</v>
      </c>
      <c r="C305" s="29">
        <f t="shared" si="13"/>
        <v>1</v>
      </c>
      <c r="D305" s="29">
        <f t="shared" si="14"/>
        <v>2020</v>
      </c>
      <c r="E305" s="11">
        <v>94.522852594200003</v>
      </c>
      <c r="F305" s="52">
        <v>18257</v>
      </c>
      <c r="G305" s="52">
        <v>14242</v>
      </c>
      <c r="H305" s="50">
        <v>11128</v>
      </c>
      <c r="I305" s="47">
        <v>1612</v>
      </c>
      <c r="J305" s="13">
        <v>140.99</v>
      </c>
      <c r="K305" s="42">
        <v>368.9</v>
      </c>
      <c r="L305" s="23">
        <v>57.519047619047612</v>
      </c>
      <c r="M305" s="30">
        <v>99.45</v>
      </c>
      <c r="N305" s="30">
        <v>3.4601818181818178</v>
      </c>
      <c r="O305" s="12">
        <v>1699.929090909091</v>
      </c>
      <c r="P305" s="12">
        <v>1641.2049999999997</v>
      </c>
      <c r="Q305" s="12">
        <v>9233.3599796190483</v>
      </c>
      <c r="R305" s="12">
        <v>3278.2028576666662</v>
      </c>
      <c r="S305" s="34">
        <v>0.17</v>
      </c>
      <c r="T305" s="42">
        <v>138.6</v>
      </c>
      <c r="U305" s="42">
        <v>136.9</v>
      </c>
      <c r="V305" s="42">
        <v>100.4</v>
      </c>
      <c r="W305" s="42">
        <v>148.19999999999999</v>
      </c>
      <c r="X305" s="23">
        <f>[1]ישיר!D294/1000</f>
        <v>19066.178</v>
      </c>
      <c r="Y305" s="23">
        <v>11153.055</v>
      </c>
      <c r="Z305" s="23">
        <f>[1]עקיף!H294</f>
        <v>1612</v>
      </c>
      <c r="AA305" s="23">
        <f>[1]עקיף!P294</f>
        <v>1575</v>
      </c>
      <c r="AB305" s="23">
        <f>[1]עקיף!Q294</f>
        <v>14315</v>
      </c>
      <c r="AC305" s="60">
        <f>[2]monthly!AY402</f>
        <v>3.1900982270474103E-2</v>
      </c>
      <c r="AD305" s="60">
        <f>[2]monthly!AZ402</f>
        <v>0.80198526901126788</v>
      </c>
      <c r="AE305" s="60">
        <f>[2]monthly!BA402</f>
        <v>0.77640115116335795</v>
      </c>
      <c r="AF305" s="82">
        <v>10249.470401266623</v>
      </c>
      <c r="AG305" s="80">
        <v>3810.4229703876399</v>
      </c>
      <c r="AH305" s="64">
        <v>129978</v>
      </c>
      <c r="AI305" s="4">
        <v>423.7</v>
      </c>
      <c r="AJ305" s="69">
        <v>368.9</v>
      </c>
      <c r="AK305" s="68">
        <v>85.1</v>
      </c>
      <c r="AL305" s="74">
        <v>86.832359839223344</v>
      </c>
      <c r="AM305" s="73">
        <v>43380</v>
      </c>
      <c r="AT305" s="68"/>
      <c r="AU305" s="68"/>
      <c r="AV305" s="68"/>
      <c r="AW305" s="68"/>
    </row>
    <row r="306" spans="1:49" ht="16.5" thickBot="1">
      <c r="A306" s="28">
        <v>43862</v>
      </c>
      <c r="B306" s="29">
        <f t="shared" si="12"/>
        <v>2</v>
      </c>
      <c r="C306" s="29">
        <f t="shared" si="13"/>
        <v>1</v>
      </c>
      <c r="D306" s="29">
        <f t="shared" si="14"/>
        <v>2020</v>
      </c>
      <c r="E306" s="11">
        <v>94.428706326699995</v>
      </c>
      <c r="F306" s="52">
        <v>14181</v>
      </c>
      <c r="G306" s="52">
        <v>10166</v>
      </c>
      <c r="H306" s="50">
        <v>7081</v>
      </c>
      <c r="I306" s="47">
        <v>1547</v>
      </c>
      <c r="J306" s="13">
        <v>141.41</v>
      </c>
      <c r="K306" s="42">
        <v>364.7</v>
      </c>
      <c r="L306" s="23">
        <v>50.542631578947358</v>
      </c>
      <c r="M306" s="30">
        <v>99.16</v>
      </c>
      <c r="N306" s="30">
        <v>3.4336500000000001</v>
      </c>
      <c r="O306" s="12">
        <v>1700.0535000000004</v>
      </c>
      <c r="P306" s="12">
        <v>1637.8074999999999</v>
      </c>
      <c r="Q306" s="12">
        <v>9418.8500207368434</v>
      </c>
      <c r="R306" s="12">
        <v>3277.3141832631577</v>
      </c>
      <c r="S306" s="34">
        <v>0.17</v>
      </c>
      <c r="T306" s="42">
        <v>138.1</v>
      </c>
      <c r="U306" s="42">
        <v>137.80000000000001</v>
      </c>
      <c r="V306" s="42">
        <v>100.6</v>
      </c>
      <c r="W306" s="42">
        <v>143.5</v>
      </c>
      <c r="X306" s="23">
        <f>[1]ישיר!D295/1000</f>
        <v>13935.147999999999</v>
      </c>
      <c r="Y306" s="23">
        <v>8801.57</v>
      </c>
      <c r="Z306" s="23">
        <f>[1]עקיף!H295</f>
        <v>1547</v>
      </c>
      <c r="AA306" s="23">
        <f>[1]עקיף!P295</f>
        <v>1418</v>
      </c>
      <c r="AB306" s="23">
        <f>[1]עקיף!Q295</f>
        <v>10046</v>
      </c>
      <c r="AC306" s="60">
        <f>[2]monthly!AY403</f>
        <v>3.217746358705588E-2</v>
      </c>
      <c r="AD306" s="60">
        <f>[2]monthly!AZ403</f>
        <v>0.80073197511284622</v>
      </c>
      <c r="AE306" s="60">
        <f>[2]monthly!BA403</f>
        <v>0.77496645114066121</v>
      </c>
      <c r="AF306" s="82">
        <v>10257.854931963078</v>
      </c>
      <c r="AG306" s="80">
        <v>3823.9645530152602</v>
      </c>
      <c r="AH306" s="64">
        <v>131176</v>
      </c>
      <c r="AI306" s="4">
        <v>424.1</v>
      </c>
      <c r="AJ306" s="69">
        <v>364.6</v>
      </c>
      <c r="AK306" s="68">
        <v>85.6</v>
      </c>
      <c r="AL306" s="74">
        <v>85.931152229621702</v>
      </c>
      <c r="AM306" s="73">
        <v>43740</v>
      </c>
      <c r="AT306" s="68"/>
      <c r="AU306" s="68"/>
      <c r="AV306" s="68"/>
      <c r="AW306" s="68"/>
    </row>
    <row r="307" spans="1:49" ht="16.5" thickBot="1">
      <c r="A307" s="28">
        <v>43891</v>
      </c>
      <c r="B307" s="29">
        <f t="shared" si="12"/>
        <v>3</v>
      </c>
      <c r="C307" s="29">
        <f t="shared" si="13"/>
        <v>1</v>
      </c>
      <c r="D307" s="29">
        <f t="shared" si="14"/>
        <v>2020</v>
      </c>
      <c r="E307" s="11">
        <v>94.805291396800001</v>
      </c>
      <c r="F307" s="52">
        <v>12105</v>
      </c>
      <c r="G307" s="52">
        <v>10167</v>
      </c>
      <c r="H307" s="50">
        <v>6603</v>
      </c>
      <c r="I307" s="47">
        <v>2234</v>
      </c>
      <c r="J307" s="13">
        <v>124.28</v>
      </c>
      <c r="K307" s="42">
        <v>309.3</v>
      </c>
      <c r="L307" s="23">
        <v>29.568181818181817</v>
      </c>
      <c r="M307" s="30">
        <v>100.73</v>
      </c>
      <c r="N307" s="30">
        <v>3.6178947368421057</v>
      </c>
      <c r="O307" s="12">
        <v>1330.182380952381</v>
      </c>
      <c r="P307" s="12">
        <v>1270.8347619047618</v>
      </c>
      <c r="Q307" s="12">
        <v>7772.2058328636367</v>
      </c>
      <c r="R307" s="12">
        <v>2652.3936323636367</v>
      </c>
      <c r="S307" s="34">
        <v>0.17</v>
      </c>
      <c r="T307" s="42">
        <v>122.5</v>
      </c>
      <c r="U307" s="42">
        <v>118.8</v>
      </c>
      <c r="V307" s="42">
        <v>98.7</v>
      </c>
      <c r="W307" s="42">
        <v>83.3</v>
      </c>
      <c r="X307" s="23">
        <f>[1]ישיר!D296/1000</f>
        <v>12261.508</v>
      </c>
      <c r="Y307" s="23">
        <v>9584.6479999999992</v>
      </c>
      <c r="Z307" s="23">
        <f>[1]עקיף!H296</f>
        <v>2234</v>
      </c>
      <c r="AA307" s="23">
        <f>[1]עקיף!P296</f>
        <v>1509</v>
      </c>
      <c r="AB307" s="23">
        <f>[1]עקיף!Q296</f>
        <v>10346</v>
      </c>
      <c r="AC307" s="60">
        <f>[2]monthly!AY404</f>
        <v>3.1806459535797617E-2</v>
      </c>
      <c r="AD307" s="60">
        <f>[2]monthly!AZ404</f>
        <v>0.79190877926624681</v>
      </c>
      <c r="AE307" s="60">
        <f>[2]monthly!BA404</f>
        <v>0.76672096472247198</v>
      </c>
      <c r="AF307" s="82">
        <v>9762.5544913724989</v>
      </c>
      <c r="AG307" s="80">
        <v>3667.19982136513</v>
      </c>
      <c r="AH307" s="64">
        <v>125941</v>
      </c>
      <c r="AI307" s="4">
        <v>423.7</v>
      </c>
      <c r="AJ307" s="69">
        <v>309.2</v>
      </c>
      <c r="AK307" s="68">
        <v>76.900000000000006</v>
      </c>
      <c r="AL307" s="74">
        <v>82.58318694913217</v>
      </c>
      <c r="AM307" s="73">
        <v>22512</v>
      </c>
      <c r="AT307" s="68"/>
      <c r="AU307" s="68"/>
      <c r="AV307" s="68"/>
      <c r="AW307" s="68"/>
    </row>
    <row r="308" spans="1:49" ht="16.5" thickBot="1">
      <c r="A308" s="28">
        <v>43922</v>
      </c>
      <c r="B308" s="29">
        <f t="shared" si="12"/>
        <v>4</v>
      </c>
      <c r="C308" s="29">
        <f t="shared" si="13"/>
        <v>2</v>
      </c>
      <c r="D308" s="29">
        <f t="shared" si="14"/>
        <v>2020</v>
      </c>
      <c r="E308" s="11">
        <v>94.522852594200003</v>
      </c>
      <c r="F308" s="52">
        <v>12338</v>
      </c>
      <c r="G308" s="52">
        <v>8646</v>
      </c>
      <c r="H308" s="50">
        <v>7084</v>
      </c>
      <c r="I308" s="47">
        <v>797</v>
      </c>
      <c r="J308" s="13">
        <v>115.56</v>
      </c>
      <c r="K308" s="42">
        <v>264.3</v>
      </c>
      <c r="L308" s="23">
        <v>16.547619047619051</v>
      </c>
      <c r="M308" s="30">
        <v>97.48</v>
      </c>
      <c r="N308" s="30">
        <v>3.5678125000000001</v>
      </c>
      <c r="O308" s="12">
        <v>1346.211875</v>
      </c>
      <c r="P308" s="12">
        <v>1318.69</v>
      </c>
      <c r="Q308" s="12">
        <v>8292.407180095237</v>
      </c>
      <c r="R308" s="12">
        <v>2761.9752255714288</v>
      </c>
      <c r="S308" s="34">
        <v>0.17</v>
      </c>
      <c r="T308" s="42">
        <v>111.5</v>
      </c>
      <c r="U308" s="42">
        <v>104.5</v>
      </c>
      <c r="V308" s="42">
        <v>76.8</v>
      </c>
      <c r="W308" s="42">
        <v>44.3</v>
      </c>
      <c r="X308" s="23">
        <f>[1]ישיר!D297/1000</f>
        <v>12357.766</v>
      </c>
      <c r="Y308" s="23">
        <v>9105.5930000000008</v>
      </c>
      <c r="Z308" s="23">
        <f>[1]עקיף!H297</f>
        <v>797</v>
      </c>
      <c r="AA308" s="23">
        <f>[1]עקיף!P297</f>
        <v>715</v>
      </c>
      <c r="AB308" s="23">
        <f>[1]עקיף!Q297</f>
        <v>8596</v>
      </c>
      <c r="AC308" s="60">
        <f>[2]monthly!AY405</f>
        <v>3.1551459293394778E-2</v>
      </c>
      <c r="AD308" s="60">
        <f>[2]monthly!AZ405</f>
        <v>0.78978017178628623</v>
      </c>
      <c r="AE308" s="60">
        <f>[2]monthly!BA405</f>
        <v>0.76486145484544099</v>
      </c>
      <c r="AF308" s="82">
        <v>12122.344056743383</v>
      </c>
      <c r="AG308" s="80">
        <v>2626.3812259219299</v>
      </c>
      <c r="AH308" s="64">
        <v>133547</v>
      </c>
      <c r="AI308" s="4">
        <v>420.7</v>
      </c>
      <c r="AJ308" s="69">
        <v>264.3</v>
      </c>
      <c r="AK308" s="68">
        <v>77</v>
      </c>
      <c r="AL308" s="74">
        <v>80.162957735800546</v>
      </c>
      <c r="AM308" s="73">
        <v>10152</v>
      </c>
      <c r="AT308" s="71"/>
      <c r="AU308" s="68"/>
      <c r="AV308" s="68"/>
      <c r="AW308" s="68"/>
    </row>
    <row r="309" spans="1:49" ht="16.5" thickBot="1">
      <c r="A309" s="28">
        <v>43952</v>
      </c>
      <c r="B309" s="29">
        <f t="shared" si="12"/>
        <v>5</v>
      </c>
      <c r="C309" s="29">
        <f t="shared" si="13"/>
        <v>2</v>
      </c>
      <c r="D309" s="29">
        <f t="shared" si="14"/>
        <v>2020</v>
      </c>
      <c r="E309" s="11">
        <v>94.240413791700007</v>
      </c>
      <c r="F309" s="52">
        <v>11901</v>
      </c>
      <c r="G309" s="52">
        <v>10268</v>
      </c>
      <c r="H309" s="50">
        <v>7582</v>
      </c>
      <c r="I309" s="47">
        <v>1192</v>
      </c>
      <c r="J309" s="13">
        <v>127.66</v>
      </c>
      <c r="K309" s="42">
        <v>358.6</v>
      </c>
      <c r="L309" s="23">
        <v>28.562500000000007</v>
      </c>
      <c r="M309" s="30">
        <v>99.78</v>
      </c>
      <c r="N309" s="30">
        <v>3.5175000000000005</v>
      </c>
      <c r="O309" s="12">
        <v>1422.1860000000001</v>
      </c>
      <c r="P309" s="12">
        <v>1402.3075000000001</v>
      </c>
      <c r="Q309" s="12">
        <v>9105.6554687499993</v>
      </c>
      <c r="R309" s="12">
        <v>2919.6084838000006</v>
      </c>
      <c r="S309" s="34">
        <v>0.17</v>
      </c>
      <c r="T309" s="42">
        <v>127.2</v>
      </c>
      <c r="U309" s="42">
        <v>132.1</v>
      </c>
      <c r="V309" s="42">
        <v>104.3</v>
      </c>
      <c r="W309" s="42">
        <v>66.2</v>
      </c>
      <c r="X309" s="23">
        <f>[1]ישיר!D298/1000</f>
        <v>12312.007</v>
      </c>
      <c r="Y309" s="23">
        <v>8237.8060000000005</v>
      </c>
      <c r="Z309" s="23">
        <f>[1]עקיף!H298</f>
        <v>1192</v>
      </c>
      <c r="AA309" s="23">
        <f>[1]עקיף!P298</f>
        <v>1374</v>
      </c>
      <c r="AB309" s="23">
        <f>[1]עקיף!Q298</f>
        <v>10148</v>
      </c>
      <c r="AC309" s="60">
        <f>[2]monthly!AY406</f>
        <v>3.3249976845420026E-2</v>
      </c>
      <c r="AD309" s="60">
        <f>[2]monthly!AZ406</f>
        <v>0.78720198313364276</v>
      </c>
      <c r="AE309" s="60">
        <f>[2]monthly!BA406</f>
        <v>0.76102753542178048</v>
      </c>
      <c r="AF309" s="82">
        <v>11437.780194271389</v>
      </c>
      <c r="AG309" s="80">
        <v>3061.12213735251</v>
      </c>
      <c r="AH309" s="64">
        <v>142513</v>
      </c>
      <c r="AI309" s="4">
        <v>422</v>
      </c>
      <c r="AJ309" s="69">
        <v>358.6</v>
      </c>
      <c r="AK309" s="68">
        <v>80.7</v>
      </c>
      <c r="AL309" s="74">
        <v>81.808857761555871</v>
      </c>
      <c r="AM309" s="73">
        <v>30132</v>
      </c>
      <c r="AT309" s="68"/>
      <c r="AU309" s="68"/>
      <c r="AV309" s="68"/>
      <c r="AW309" s="68"/>
    </row>
    <row r="310" spans="1:49" ht="16.5" thickBot="1">
      <c r="A310" s="28">
        <v>43983</v>
      </c>
      <c r="B310" s="29">
        <f t="shared" si="12"/>
        <v>6</v>
      </c>
      <c r="C310" s="29">
        <f t="shared" si="13"/>
        <v>2</v>
      </c>
      <c r="D310" s="29">
        <f t="shared" si="14"/>
        <v>2020</v>
      </c>
      <c r="E310" s="11">
        <v>94.146267524199999</v>
      </c>
      <c r="F310" s="52">
        <v>12759</v>
      </c>
      <c r="G310" s="52">
        <v>9976</v>
      </c>
      <c r="H310" s="50">
        <v>6776</v>
      </c>
      <c r="I310" s="47">
        <v>1736</v>
      </c>
      <c r="J310" s="13">
        <v>122.5</v>
      </c>
      <c r="K310" s="42">
        <v>368.2</v>
      </c>
      <c r="L310" s="23">
        <v>38.307272727272725</v>
      </c>
      <c r="M310" s="30">
        <v>100.91</v>
      </c>
      <c r="N310" s="30">
        <v>3.4583181818181812</v>
      </c>
      <c r="O310" s="12">
        <v>1413.3352380952381</v>
      </c>
      <c r="P310" s="12">
        <v>1388.4057142857143</v>
      </c>
      <c r="Q310" s="12">
        <v>9839.971324545455</v>
      </c>
      <c r="R310" s="12">
        <v>3104.6609330909091</v>
      </c>
      <c r="S310" s="34">
        <v>0.17</v>
      </c>
      <c r="T310" s="42">
        <v>131.1</v>
      </c>
      <c r="U310" s="42">
        <v>140.4</v>
      </c>
      <c r="V310" s="42">
        <v>103.3</v>
      </c>
      <c r="W310" s="42">
        <v>95.9</v>
      </c>
      <c r="X310" s="23">
        <f>[1]ישיר!D299/1000</f>
        <v>12427.12</v>
      </c>
      <c r="Y310" s="23">
        <v>7823.5990000000002</v>
      </c>
      <c r="Z310" s="23">
        <f>[1]עקיף!H299</f>
        <v>1736</v>
      </c>
      <c r="AA310" s="23">
        <f>[1]עקיף!P299</f>
        <v>1530</v>
      </c>
      <c r="AB310" s="23">
        <f>[1]עקיף!Q299</f>
        <v>10042</v>
      </c>
      <c r="AC310" s="60">
        <f>[2]monthly!AY407</f>
        <v>4.150446004352757E-2</v>
      </c>
      <c r="AD310" s="60">
        <f>[2]monthly!AZ407</f>
        <v>0.79160903642231439</v>
      </c>
      <c r="AE310" s="60">
        <f>[2]monthly!BA407</f>
        <v>0.75875373080002906</v>
      </c>
      <c r="AF310" s="82">
        <v>10948.499267043164</v>
      </c>
      <c r="AG310" s="80">
        <v>3400.5543299745</v>
      </c>
      <c r="AH310" s="64">
        <v>147337</v>
      </c>
      <c r="AI310" s="4">
        <v>426.2</v>
      </c>
      <c r="AJ310" s="69">
        <v>368.2</v>
      </c>
      <c r="AK310" s="68">
        <v>85.2</v>
      </c>
      <c r="AL310" s="74">
        <v>83.274287094553841</v>
      </c>
      <c r="AM310" s="73">
        <v>46188</v>
      </c>
      <c r="AT310" s="68"/>
      <c r="AU310" s="69"/>
      <c r="AV310" s="68"/>
      <c r="AW310" s="68"/>
    </row>
    <row r="311" spans="1:49" ht="16.5" thickBot="1">
      <c r="A311" s="28">
        <v>44013</v>
      </c>
      <c r="B311" s="29">
        <f t="shared" si="12"/>
        <v>7</v>
      </c>
      <c r="C311" s="29">
        <f t="shared" si="13"/>
        <v>3</v>
      </c>
      <c r="D311" s="29">
        <f t="shared" si="14"/>
        <v>2020</v>
      </c>
      <c r="E311" s="11">
        <v>94.334560059200001</v>
      </c>
      <c r="F311" s="52">
        <v>14615</v>
      </c>
      <c r="G311" s="52">
        <v>12452</v>
      </c>
      <c r="H311" s="50">
        <v>9096</v>
      </c>
      <c r="I311" s="47">
        <v>1661</v>
      </c>
      <c r="J311" s="13">
        <v>102.8</v>
      </c>
      <c r="K311" s="42">
        <v>363.5</v>
      </c>
      <c r="L311" s="23">
        <v>40.710454545454553</v>
      </c>
      <c r="M311" s="30">
        <v>100.58</v>
      </c>
      <c r="N311" s="30">
        <v>3.433181818181819</v>
      </c>
      <c r="O311" s="12">
        <v>1384.1133333333337</v>
      </c>
      <c r="P311" s="12">
        <v>1371.2800000000004</v>
      </c>
      <c r="Q311" s="12">
        <v>10518.026775636363</v>
      </c>
      <c r="R311" s="12">
        <v>3210.795460772727</v>
      </c>
      <c r="S311" s="34">
        <v>0.17</v>
      </c>
      <c r="T311" s="42">
        <v>131.80000000000001</v>
      </c>
      <c r="U311" s="42">
        <v>144.30000000000001</v>
      </c>
      <c r="V311" s="42">
        <v>102.3</v>
      </c>
      <c r="W311" s="42">
        <v>92.9</v>
      </c>
      <c r="X311" s="23">
        <f>[1]ישיר!D300/1000</f>
        <v>15246.784</v>
      </c>
      <c r="Y311" s="23">
        <v>9667.8629999999994</v>
      </c>
      <c r="Z311" s="23">
        <f>[1]עקיף!H300</f>
        <v>1661</v>
      </c>
      <c r="AA311" s="23">
        <f>[1]עקיף!P300</f>
        <v>1683</v>
      </c>
      <c r="AB311" s="23">
        <f>[1]עקיף!Q300</f>
        <v>12440</v>
      </c>
      <c r="AC311" s="60">
        <f>[2]monthly!AY408</f>
        <v>4.4093764363413515E-2</v>
      </c>
      <c r="AD311" s="60">
        <f>[2]monthly!AZ408</f>
        <v>0.79218856199631027</v>
      </c>
      <c r="AE311" s="60">
        <f>[2]monthly!BA408</f>
        <v>0.75725798621225349</v>
      </c>
      <c r="AF311" s="82">
        <v>10914.573127888527</v>
      </c>
      <c r="AG311" s="80">
        <v>3408.1633320753299</v>
      </c>
      <c r="AH311" s="64">
        <v>157663</v>
      </c>
      <c r="AI311" s="4">
        <v>426.2</v>
      </c>
      <c r="AJ311" s="69">
        <v>363.4</v>
      </c>
      <c r="AK311" s="68">
        <v>83.5</v>
      </c>
      <c r="AL311" s="74">
        <v>84.516144218563454</v>
      </c>
      <c r="AM311" s="73">
        <v>46176</v>
      </c>
      <c r="AT311" s="68"/>
      <c r="AU311" s="68"/>
      <c r="AV311" s="68"/>
      <c r="AW311" s="68"/>
    </row>
    <row r="312" spans="1:49" ht="16.5" thickBot="1">
      <c r="A312" s="28">
        <v>44044</v>
      </c>
      <c r="B312" s="29">
        <f t="shared" si="12"/>
        <v>8</v>
      </c>
      <c r="C312" s="29">
        <f t="shared" si="13"/>
        <v>3</v>
      </c>
      <c r="D312" s="29">
        <f t="shared" si="14"/>
        <v>2020</v>
      </c>
      <c r="E312" s="11">
        <v>94.334560059200001</v>
      </c>
      <c r="F312" s="52">
        <v>14065</v>
      </c>
      <c r="G312" s="52">
        <v>11856</v>
      </c>
      <c r="H312" s="50">
        <v>8519</v>
      </c>
      <c r="I312" s="47">
        <v>1650</v>
      </c>
      <c r="J312" s="13">
        <v>115.8</v>
      </c>
      <c r="K312" s="42">
        <v>393.4</v>
      </c>
      <c r="L312" s="23">
        <v>42.339047619047619</v>
      </c>
      <c r="M312" s="30">
        <v>100.44</v>
      </c>
      <c r="N312" s="30">
        <v>3.4009047619047617</v>
      </c>
      <c r="O312" s="12">
        <v>1408.7886363636362</v>
      </c>
      <c r="P312" s="12">
        <v>1429.0731818181821</v>
      </c>
      <c r="Q312" s="12">
        <v>11227.765039249998</v>
      </c>
      <c r="R312" s="12">
        <v>3396.5650147000001</v>
      </c>
      <c r="S312" s="34">
        <v>0.17</v>
      </c>
      <c r="T312" s="42">
        <v>134.1</v>
      </c>
      <c r="U312" s="42">
        <v>142.69999999999999</v>
      </c>
      <c r="V312" s="42">
        <v>104.2</v>
      </c>
      <c r="W312" s="42">
        <v>118.2</v>
      </c>
      <c r="X312" s="23">
        <f>[1]ישיר!D301/1000</f>
        <v>13494.76</v>
      </c>
      <c r="Y312" s="23">
        <v>8129.2060000000001</v>
      </c>
      <c r="Z312" s="23">
        <f>[1]עקיף!H301</f>
        <v>1650</v>
      </c>
      <c r="AA312" s="23">
        <f>[1]עקיף!P301</f>
        <v>1743</v>
      </c>
      <c r="AB312" s="23">
        <f>[1]עקיף!Q301</f>
        <v>11912</v>
      </c>
      <c r="AC312" s="60">
        <f>[2]monthly!AY409</f>
        <v>4.3692439494538444E-2</v>
      </c>
      <c r="AD312" s="60">
        <f>[2]monthly!AZ409</f>
        <v>0.79397045962491508</v>
      </c>
      <c r="AE312" s="60">
        <f>[2]monthly!BA409</f>
        <v>0.75927995335730258</v>
      </c>
      <c r="AF312" s="82">
        <v>10961.607092428972</v>
      </c>
      <c r="AG312" s="80">
        <v>3450.2743306962802</v>
      </c>
      <c r="AH312" s="64">
        <v>161688</v>
      </c>
      <c r="AI312" s="4">
        <v>426.6</v>
      </c>
      <c r="AJ312" s="69">
        <v>393.2</v>
      </c>
      <c r="AK312" s="68">
        <v>86.5</v>
      </c>
      <c r="AL312" s="74">
        <v>85.599466882279273</v>
      </c>
      <c r="AM312" s="73">
        <v>50388</v>
      </c>
      <c r="AT312" s="68"/>
      <c r="AU312" s="68"/>
      <c r="AV312" s="68"/>
      <c r="AW312" s="68"/>
    </row>
    <row r="313" spans="1:49" ht="16.5" thickBot="1">
      <c r="A313" s="28">
        <v>44075</v>
      </c>
      <c r="B313" s="29">
        <f t="shared" si="12"/>
        <v>9</v>
      </c>
      <c r="C313" s="29">
        <f t="shared" si="13"/>
        <v>3</v>
      </c>
      <c r="D313" s="29">
        <f t="shared" si="14"/>
        <v>2020</v>
      </c>
      <c r="E313" s="11">
        <v>94.240413791700007</v>
      </c>
      <c r="F313" s="52">
        <v>14334</v>
      </c>
      <c r="G313" s="52">
        <v>13210</v>
      </c>
      <c r="H313" s="50">
        <v>9673</v>
      </c>
      <c r="I313" s="47">
        <v>2106</v>
      </c>
      <c r="J313" s="13">
        <v>109.8</v>
      </c>
      <c r="K313" s="42">
        <v>368.7</v>
      </c>
      <c r="L313" s="23">
        <v>39.63428571428571</v>
      </c>
      <c r="M313" s="30">
        <v>100.07</v>
      </c>
      <c r="N313" s="30">
        <v>3.4174999999999995</v>
      </c>
      <c r="O313" s="12">
        <v>1325.6357894736841</v>
      </c>
      <c r="P313" s="12">
        <v>1356.5847368421053</v>
      </c>
      <c r="Q313" s="12">
        <v>11088.679966523812</v>
      </c>
      <c r="R313" s="12">
        <v>3365.5166713809526</v>
      </c>
      <c r="S313" s="34">
        <v>0.17</v>
      </c>
      <c r="T313" s="42">
        <v>131.80000000000001</v>
      </c>
      <c r="U313" s="42">
        <v>136.19999999999999</v>
      </c>
      <c r="V313" s="42">
        <v>100.5</v>
      </c>
      <c r="W313" s="42">
        <v>83.5</v>
      </c>
      <c r="X313" s="23">
        <f>[1]ישיר!D302/1000</f>
        <v>14629.27</v>
      </c>
      <c r="Y313" s="23">
        <v>8946.1929999999993</v>
      </c>
      <c r="Z313" s="23">
        <f>[1]עקיף!H302</f>
        <v>2106</v>
      </c>
      <c r="AA313" s="23">
        <f>[1]עקיף!P302</f>
        <v>1640</v>
      </c>
      <c r="AB313" s="23">
        <f>[1]עקיף!Q302</f>
        <v>13419</v>
      </c>
      <c r="AC313" s="60">
        <f>[2]monthly!AY410</f>
        <v>4.0527717407940249E-2</v>
      </c>
      <c r="AD313" s="60">
        <f>[2]monthly!AZ410</f>
        <v>0.79159195541555616</v>
      </c>
      <c r="AE313" s="60">
        <f>[2]monthly!BA410</f>
        <v>0.75951054034407561</v>
      </c>
      <c r="AF313" s="82">
        <v>10803.77330318544</v>
      </c>
      <c r="AG313" s="80">
        <v>3432.6434021628402</v>
      </c>
      <c r="AH313" s="64">
        <v>160584</v>
      </c>
      <c r="AI313" s="4">
        <v>427.9</v>
      </c>
      <c r="AJ313" s="69">
        <v>368.8</v>
      </c>
      <c r="AK313" s="68">
        <v>87.6</v>
      </c>
      <c r="AL313" s="74">
        <v>85.697479744341507</v>
      </c>
      <c r="AM313" s="73">
        <v>43992</v>
      </c>
      <c r="AT313" s="68"/>
      <c r="AU313" s="68"/>
      <c r="AV313" s="68"/>
      <c r="AW313" s="68"/>
    </row>
    <row r="314" spans="1:49" ht="16.5" thickBot="1">
      <c r="A314" s="28">
        <v>44105</v>
      </c>
      <c r="B314" s="29">
        <f t="shared" si="12"/>
        <v>10</v>
      </c>
      <c r="C314" s="29">
        <f t="shared" si="13"/>
        <v>4</v>
      </c>
      <c r="D314" s="29">
        <f t="shared" si="14"/>
        <v>2020</v>
      </c>
      <c r="E314" s="11">
        <v>94.522852594200003</v>
      </c>
      <c r="F314" s="52">
        <v>13409</v>
      </c>
      <c r="G314" s="52">
        <v>10164</v>
      </c>
      <c r="H314" s="50">
        <v>7631</v>
      </c>
      <c r="I314" s="47">
        <v>1407</v>
      </c>
      <c r="J314" s="13">
        <v>110.8</v>
      </c>
      <c r="K314" s="42">
        <v>337</v>
      </c>
      <c r="L314" s="23">
        <v>39.3959090909091</v>
      </c>
      <c r="M314" s="30">
        <v>99.14</v>
      </c>
      <c r="N314" s="30">
        <v>3.3950454545454538</v>
      </c>
      <c r="O314" s="12">
        <v>1353.2519047619048</v>
      </c>
      <c r="P314" s="12">
        <v>1393.9685714285713</v>
      </c>
      <c r="Q314" s="12">
        <v>11435.234108681818</v>
      </c>
      <c r="R314" s="12">
        <v>3418.6999956818181</v>
      </c>
      <c r="S314" s="34">
        <v>0.17</v>
      </c>
      <c r="T314" s="42">
        <v>130.69999999999999</v>
      </c>
      <c r="U314" s="42">
        <v>133.69999999999999</v>
      </c>
      <c r="V314" s="42">
        <v>95.9</v>
      </c>
      <c r="W314" s="42">
        <v>68.400000000000006</v>
      </c>
      <c r="X314" s="23">
        <f>[1]ישיר!D303/1000</f>
        <v>13249.609</v>
      </c>
      <c r="Y314" s="23">
        <v>8312.0349999999999</v>
      </c>
      <c r="Z314" s="23">
        <f>[1]עקיף!H303</f>
        <v>1407</v>
      </c>
      <c r="AA314" s="23">
        <f>[1]עקיף!P303</f>
        <v>1096</v>
      </c>
      <c r="AB314" s="23">
        <f>[1]עקיף!Q303</f>
        <v>10134</v>
      </c>
      <c r="AC314" s="60">
        <f>[2]monthly!AY411</f>
        <v>4.1057865357044802E-2</v>
      </c>
      <c r="AD314" s="60">
        <f>[2]monthly!AZ411</f>
        <v>0.79159221519292999</v>
      </c>
      <c r="AE314" s="60">
        <f>[2]monthly!BA411</f>
        <v>0.75909112860385375</v>
      </c>
      <c r="AF314" s="82">
        <v>11509.863633724217</v>
      </c>
      <c r="AG314" s="80">
        <v>3152.91671441264</v>
      </c>
      <c r="AH314" s="64">
        <v>160748</v>
      </c>
      <c r="AI314" s="4">
        <v>431.8</v>
      </c>
      <c r="AJ314" s="69">
        <v>337</v>
      </c>
      <c r="AK314" s="68">
        <v>88.1</v>
      </c>
      <c r="AL314" s="74">
        <v>85.742919160161136</v>
      </c>
      <c r="AM314" s="73">
        <v>42780</v>
      </c>
      <c r="AT314" s="68"/>
      <c r="AU314" s="68"/>
      <c r="AV314" s="68"/>
      <c r="AW314" s="68"/>
    </row>
    <row r="315" spans="1:49" ht="16.5" thickBot="1">
      <c r="A315" s="28">
        <v>44136</v>
      </c>
      <c r="B315" s="29">
        <f t="shared" si="12"/>
        <v>11</v>
      </c>
      <c r="C315" s="29">
        <f t="shared" si="13"/>
        <v>4</v>
      </c>
      <c r="D315" s="29">
        <f t="shared" si="14"/>
        <v>2020</v>
      </c>
      <c r="E315" s="11">
        <v>94.334560059200001</v>
      </c>
      <c r="F315" s="52">
        <v>14361</v>
      </c>
      <c r="G315" s="52">
        <v>11726</v>
      </c>
      <c r="H315" s="50">
        <v>8751</v>
      </c>
      <c r="I315" s="47">
        <v>1627</v>
      </c>
      <c r="J315" s="13">
        <v>120.5</v>
      </c>
      <c r="K315" s="42">
        <v>377.3</v>
      </c>
      <c r="L315" s="23">
        <v>40.937368421052639</v>
      </c>
      <c r="M315" s="30">
        <v>100.06</v>
      </c>
      <c r="N315" s="30">
        <v>3.3593809523809521</v>
      </c>
      <c r="O315" s="12">
        <v>1419.4536363636362</v>
      </c>
      <c r="P315" s="12">
        <v>1466.2581818181818</v>
      </c>
      <c r="Q315" s="12">
        <v>11794.461523549999</v>
      </c>
      <c r="R315" s="12">
        <v>3548.9924803499998</v>
      </c>
      <c r="S315" s="34">
        <v>0.17</v>
      </c>
      <c r="T315" s="42">
        <v>139.30000000000001</v>
      </c>
      <c r="U315" s="42">
        <v>146</v>
      </c>
      <c r="V315" s="42">
        <v>102.3</v>
      </c>
      <c r="W315" s="42">
        <v>79.099999999999994</v>
      </c>
      <c r="X315" s="23">
        <f>[1]ישיר!D304/1000</f>
        <v>14620.019</v>
      </c>
      <c r="Y315" s="23">
        <v>8310.1450000000004</v>
      </c>
      <c r="Z315" s="23">
        <f>[1]עקיף!H304</f>
        <v>1627</v>
      </c>
      <c r="AA315" s="23">
        <f>[1]עקיף!P304</f>
        <v>1523</v>
      </c>
      <c r="AB315" s="23">
        <f>[1]עקיף!Q304</f>
        <v>11901</v>
      </c>
      <c r="AC315" s="60">
        <f>[2]monthly!AY412</f>
        <v>4.3298400441257587E-2</v>
      </c>
      <c r="AD315" s="60">
        <f>[2]monthly!AZ412</f>
        <v>0.78852752138404292</v>
      </c>
      <c r="AE315" s="60">
        <f>[2]monthly!BA412</f>
        <v>0.75440970376455796</v>
      </c>
      <c r="AF315" s="82">
        <v>11267.593463574869</v>
      </c>
      <c r="AG315" s="80">
        <v>3285.6384172800499</v>
      </c>
      <c r="AH315" s="64">
        <v>166947</v>
      </c>
      <c r="AI315" s="4">
        <v>435.7</v>
      </c>
      <c r="AJ315" s="69">
        <v>377.3</v>
      </c>
      <c r="AK315" s="68">
        <v>88.3</v>
      </c>
      <c r="AL315" s="74">
        <v>86.798670806330975</v>
      </c>
      <c r="AM315" s="73">
        <v>44556</v>
      </c>
      <c r="AT315" s="68"/>
      <c r="AU315" s="68"/>
      <c r="AV315" s="68"/>
      <c r="AW315" s="68"/>
    </row>
    <row r="316" spans="1:49" ht="16.5" thickBot="1">
      <c r="A316" s="28">
        <v>44166</v>
      </c>
      <c r="B316" s="29">
        <f t="shared" si="12"/>
        <v>12</v>
      </c>
      <c r="C316" s="29">
        <f t="shared" si="13"/>
        <v>4</v>
      </c>
      <c r="D316" s="29">
        <f t="shared" si="14"/>
        <v>2020</v>
      </c>
      <c r="E316" s="11">
        <v>94.240413791700007</v>
      </c>
      <c r="F316" s="52">
        <v>14620</v>
      </c>
      <c r="G316" s="52">
        <v>14320</v>
      </c>
      <c r="H316" s="50">
        <v>8884</v>
      </c>
      <c r="I316" s="47">
        <v>3492</v>
      </c>
      <c r="J316" s="13">
        <v>121.5</v>
      </c>
      <c r="K316" s="42">
        <v>392.7</v>
      </c>
      <c r="L316" s="23">
        <v>47.024999999999984</v>
      </c>
      <c r="M316" s="30">
        <v>100.1</v>
      </c>
      <c r="N316" s="30">
        <v>3.2474999999999996</v>
      </c>
      <c r="O316" s="12">
        <v>1470.5256521739132</v>
      </c>
      <c r="P316" s="12">
        <v>1527.2343478260868</v>
      </c>
      <c r="Q316" s="12">
        <v>12619.050914409088</v>
      </c>
      <c r="R316" s="12">
        <v>3695.3100141818181</v>
      </c>
      <c r="S316" s="34">
        <v>0.17</v>
      </c>
      <c r="T316" s="42">
        <v>138.4</v>
      </c>
      <c r="U316" s="42">
        <v>149.1</v>
      </c>
      <c r="V316" s="42">
        <v>107.9</v>
      </c>
      <c r="W316" s="42">
        <v>85.5</v>
      </c>
      <c r="X316" s="23">
        <f>[1]ישיר!D305/1000</f>
        <v>13998.404</v>
      </c>
      <c r="Y316" s="23">
        <v>8522.2870000000003</v>
      </c>
      <c r="Z316" s="23">
        <f>[1]עקיף!H305</f>
        <v>3492</v>
      </c>
      <c r="AA316" s="23">
        <f>[1]עקיף!P305</f>
        <v>1518</v>
      </c>
      <c r="AB316" s="23">
        <f>[1]עקיף!Q305</f>
        <v>13894</v>
      </c>
      <c r="AC316" s="60">
        <f>[2]monthly!AY413</f>
        <v>4.2619510539147608E-2</v>
      </c>
      <c r="AD316" s="60">
        <f>[2]monthly!AZ413</f>
        <v>0.78175589278390323</v>
      </c>
      <c r="AE316" s="60">
        <f>[2]monthly!BA413</f>
        <v>0.74843783927235885</v>
      </c>
      <c r="AF316" s="82">
        <v>11356.316865016228</v>
      </c>
      <c r="AG316" s="80">
        <v>3368.6142985295201</v>
      </c>
      <c r="AH316" s="64">
        <v>173297</v>
      </c>
      <c r="AI316" s="4">
        <v>438.3</v>
      </c>
      <c r="AJ316" s="69">
        <v>392.7</v>
      </c>
      <c r="AK316" s="68">
        <v>87.1</v>
      </c>
      <c r="AL316" s="74">
        <v>87.548162547884772</v>
      </c>
      <c r="AM316" s="73">
        <v>53616</v>
      </c>
      <c r="AT316" s="68"/>
      <c r="AU316" s="68"/>
      <c r="AV316" s="68"/>
      <c r="AW316" s="68"/>
    </row>
    <row r="317" spans="1:49" ht="16.5" thickBot="1">
      <c r="A317" s="28">
        <v>44197</v>
      </c>
      <c r="B317" s="29">
        <f t="shared" si="12"/>
        <v>1</v>
      </c>
      <c r="C317" s="29">
        <f t="shared" si="13"/>
        <v>1</v>
      </c>
      <c r="D317" s="29">
        <f t="shared" si="14"/>
        <v>2021</v>
      </c>
      <c r="E317" s="21">
        <v>94.145420207699999</v>
      </c>
      <c r="F317" s="52">
        <v>19651</v>
      </c>
      <c r="G317" s="52">
        <v>13723</v>
      </c>
      <c r="H317" s="50">
        <v>10709</v>
      </c>
      <c r="I317" s="47">
        <v>1775</v>
      </c>
      <c r="J317" s="13">
        <v>122.6</v>
      </c>
      <c r="K317" s="42">
        <v>350.3</v>
      </c>
      <c r="L317" s="23">
        <v>52.008421052631569</v>
      </c>
      <c r="M317" s="30">
        <v>101.54</v>
      </c>
      <c r="N317" s="30">
        <v>3.2220999999999997</v>
      </c>
      <c r="O317" s="12">
        <v>1572.9142857142858</v>
      </c>
      <c r="P317" s="12">
        <v>1628.2233333333334</v>
      </c>
      <c r="Q317" s="12">
        <v>13186.605777105264</v>
      </c>
      <c r="R317" s="12">
        <v>3793.7484323157901</v>
      </c>
      <c r="S317" s="34">
        <v>0.17</v>
      </c>
      <c r="T317" s="42">
        <v>138.6</v>
      </c>
      <c r="U317" s="42">
        <v>144.5</v>
      </c>
      <c r="V317" s="42">
        <v>96.4</v>
      </c>
      <c r="W317" s="42">
        <v>75</v>
      </c>
      <c r="X317" s="23">
        <f>[1]ישיר!D306/1000</f>
        <v>21397.19</v>
      </c>
      <c r="Y317" s="23">
        <v>11378.707</v>
      </c>
      <c r="Z317" s="23">
        <f>[1]עקיף!H306</f>
        <v>1775</v>
      </c>
      <c r="AA317" s="23">
        <f>[1]עקיף!P306</f>
        <v>1275</v>
      </c>
      <c r="AB317" s="23">
        <f>[1]עקיף!Q306</f>
        <v>13759</v>
      </c>
      <c r="AC317" s="60">
        <f>[2]monthly!AY414</f>
        <v>4.0594059405940588E-2</v>
      </c>
      <c r="AD317" s="60">
        <f>[2]monthly!AZ414</f>
        <v>0.77954655089242642</v>
      </c>
      <c r="AE317" s="60">
        <f>[2]monthly!BA414</f>
        <v>0.74787747226242152</v>
      </c>
      <c r="AF317" s="82">
        <v>11458.623224871148</v>
      </c>
      <c r="AG317" s="80">
        <v>3224.9691759100301</v>
      </c>
      <c r="AH317" s="64">
        <v>179501</v>
      </c>
      <c r="AI317" s="4">
        <v>439.2</v>
      </c>
      <c r="AJ317" s="69">
        <v>350.3</v>
      </c>
      <c r="AK317" s="68">
        <v>86.4</v>
      </c>
      <c r="AL317" s="74">
        <v>87.614045528571054</v>
      </c>
      <c r="AM317" s="73">
        <v>42000</v>
      </c>
      <c r="AT317" s="68"/>
      <c r="AU317" s="68"/>
      <c r="AV317" s="68"/>
      <c r="AW317" s="68"/>
    </row>
    <row r="318" spans="1:49" ht="16.5" thickBot="1">
      <c r="A318" s="28">
        <v>44228</v>
      </c>
      <c r="B318" s="29">
        <f t="shared" si="12"/>
        <v>2</v>
      </c>
      <c r="C318" s="29">
        <f t="shared" si="13"/>
        <v>1</v>
      </c>
      <c r="D318" s="29">
        <f t="shared" si="14"/>
        <v>2021</v>
      </c>
      <c r="E318" s="21">
        <v>94.428706326699995</v>
      </c>
      <c r="F318" s="52">
        <v>16325</v>
      </c>
      <c r="G318" s="52">
        <v>10492</v>
      </c>
      <c r="H318" s="50">
        <v>7804</v>
      </c>
      <c r="I318" s="47">
        <v>1633</v>
      </c>
      <c r="J318" s="13">
        <v>126.4</v>
      </c>
      <c r="K318" s="42">
        <v>371.4</v>
      </c>
      <c r="L318" s="23">
        <v>59.046315789473681</v>
      </c>
      <c r="M318" s="30">
        <v>101.3</v>
      </c>
      <c r="N318" s="30">
        <v>3.2697368421052637</v>
      </c>
      <c r="O318" s="12">
        <v>1595.4415000000001</v>
      </c>
      <c r="P318" s="12">
        <v>1653.2994999999999</v>
      </c>
      <c r="Q318" s="12">
        <v>13737.403628631577</v>
      </c>
      <c r="R318" s="12">
        <v>3883.4321160526315</v>
      </c>
      <c r="S318" s="34">
        <v>0.17</v>
      </c>
      <c r="T318" s="42">
        <v>140.30000000000001</v>
      </c>
      <c r="U318" s="42">
        <v>148.19999999999999</v>
      </c>
      <c r="V318" s="42">
        <v>103</v>
      </c>
      <c r="W318" s="42">
        <v>84.3</v>
      </c>
      <c r="X318" s="23">
        <f>[1]ישיר!D307/1000</f>
        <v>15498.689</v>
      </c>
      <c r="Y318" s="23">
        <v>9675.9670000000006</v>
      </c>
      <c r="Z318" s="23">
        <f>[1]עקיף!H307</f>
        <v>1633</v>
      </c>
      <c r="AA318" s="23">
        <f>[1]עקיף!P307</f>
        <v>1159</v>
      </c>
      <c r="AB318" s="23">
        <f>[1]עקיף!Q307</f>
        <v>10596</v>
      </c>
      <c r="AC318" s="60">
        <f>[2]monthly!AY415</f>
        <v>4.8132139549243592E-2</v>
      </c>
      <c r="AD318" s="60">
        <f>[2]monthly!AZ415</f>
        <v>0.77986179664363275</v>
      </c>
      <c r="AE318" s="60">
        <f>[2]monthly!BA415</f>
        <v>0.74232537981845759</v>
      </c>
      <c r="AF318" s="82">
        <v>11393.264246691957</v>
      </c>
      <c r="AG318" s="80">
        <v>3326.2062600053</v>
      </c>
      <c r="AH318" s="64">
        <v>185055</v>
      </c>
      <c r="AI318" s="4">
        <v>442.7</v>
      </c>
      <c r="AJ318" s="69">
        <v>371.3</v>
      </c>
      <c r="AK318" s="68">
        <v>85</v>
      </c>
      <c r="AL318" s="74">
        <v>88.908956043014172</v>
      </c>
      <c r="AM318" s="73">
        <v>47376</v>
      </c>
      <c r="AT318" s="68"/>
      <c r="AU318" s="68"/>
      <c r="AV318" s="68"/>
      <c r="AW318" s="68"/>
    </row>
    <row r="319" spans="1:49" ht="16.5" thickBot="1">
      <c r="A319" s="28">
        <v>44256</v>
      </c>
      <c r="B319" s="29">
        <f t="shared" si="12"/>
        <v>3</v>
      </c>
      <c r="C319" s="29">
        <f t="shared" si="13"/>
        <v>1</v>
      </c>
      <c r="D319" s="29">
        <f t="shared" si="14"/>
        <v>2021</v>
      </c>
      <c r="E319" s="21">
        <v>94.995278564700001</v>
      </c>
      <c r="F319" s="52">
        <v>16849</v>
      </c>
      <c r="G319" s="52">
        <v>12487</v>
      </c>
      <c r="H319" s="50">
        <v>8703</v>
      </c>
      <c r="I319" s="47">
        <v>2107</v>
      </c>
      <c r="J319" s="13">
        <v>133.19999999999999</v>
      </c>
      <c r="K319" s="42">
        <v>406.2</v>
      </c>
      <c r="L319" s="23">
        <v>62.333043478260862</v>
      </c>
      <c r="M319" s="30">
        <v>99.66</v>
      </c>
      <c r="N319" s="30">
        <v>3.3112272727272729</v>
      </c>
      <c r="O319" s="12">
        <v>1582.8128571428572</v>
      </c>
      <c r="P319" s="12">
        <v>1643.9028571428576</v>
      </c>
      <c r="Q319" s="12">
        <v>13168.811820695653</v>
      </c>
      <c r="R319" s="12">
        <v>3910.5082638260869</v>
      </c>
      <c r="S319" s="34">
        <v>0.17</v>
      </c>
      <c r="T319" s="42">
        <v>144.80000000000001</v>
      </c>
      <c r="U319" s="42">
        <v>151.9</v>
      </c>
      <c r="V319" s="42">
        <v>107.4</v>
      </c>
      <c r="W319" s="42">
        <v>107.1</v>
      </c>
      <c r="X319" s="23">
        <f>[1]ישיר!D308/1000</f>
        <v>17256.592000000001</v>
      </c>
      <c r="Y319" s="23">
        <v>10557.127</v>
      </c>
      <c r="Z319" s="23">
        <f>[1]עקיף!H308</f>
        <v>2107</v>
      </c>
      <c r="AA319" s="23">
        <f>[1]עקיף!P308</f>
        <v>1531</v>
      </c>
      <c r="AB319" s="23">
        <f>[1]עקיף!Q308</f>
        <v>12341</v>
      </c>
      <c r="AC319" s="60">
        <f>[2]monthly!AY416</f>
        <v>5.0552680731192012E-2</v>
      </c>
      <c r="AD319" s="60">
        <f>[2]monthly!AZ416</f>
        <v>0.7869069705804399</v>
      </c>
      <c r="AE319" s="60">
        <f>[2]monthly!BA416</f>
        <v>0.7471267137315375</v>
      </c>
      <c r="AF319" s="82">
        <v>11146.615746128435</v>
      </c>
      <c r="AG319" s="80">
        <v>3480.8889311057301</v>
      </c>
      <c r="AH319" s="64">
        <v>185680</v>
      </c>
      <c r="AI319" s="4">
        <v>448.5</v>
      </c>
      <c r="AJ319" s="69">
        <v>406.1</v>
      </c>
      <c r="AK319" s="68">
        <v>88.2</v>
      </c>
      <c r="AL319" s="74">
        <v>90.512126160883028</v>
      </c>
      <c r="AM319" s="73">
        <v>59436</v>
      </c>
      <c r="AT319" s="68"/>
      <c r="AU319" s="68"/>
      <c r="AV319" s="68"/>
      <c r="AW319" s="68"/>
    </row>
    <row r="320" spans="1:49" ht="16.5" thickBot="1">
      <c r="A320" s="28">
        <v>44287</v>
      </c>
      <c r="B320" s="29">
        <f t="shared" si="12"/>
        <v>4</v>
      </c>
      <c r="C320" s="29">
        <f t="shared" si="13"/>
        <v>2</v>
      </c>
      <c r="D320" s="29">
        <f t="shared" si="14"/>
        <v>2021</v>
      </c>
      <c r="E320" s="21">
        <v>95.278564683699997</v>
      </c>
      <c r="F320" s="52">
        <v>17319</v>
      </c>
      <c r="G320" s="52">
        <v>13465</v>
      </c>
      <c r="H320" s="50">
        <v>9879</v>
      </c>
      <c r="I320" s="47">
        <v>1903</v>
      </c>
      <c r="J320" s="13">
        <v>140.4</v>
      </c>
      <c r="K320" s="42">
        <v>417.7</v>
      </c>
      <c r="L320" s="23">
        <v>61.716666666666661</v>
      </c>
      <c r="M320" s="30">
        <v>100.05</v>
      </c>
      <c r="N320" s="30">
        <v>3.2754500000000006</v>
      </c>
      <c r="O320" s="12">
        <v>1633.596842105263</v>
      </c>
      <c r="P320" s="12">
        <v>1698.0600000000004</v>
      </c>
      <c r="Q320" s="12">
        <v>13900.43796509524</v>
      </c>
      <c r="R320" s="12">
        <v>4141.1761904761906</v>
      </c>
      <c r="S320" s="34">
        <v>0.17</v>
      </c>
      <c r="T320" s="42">
        <v>148.9</v>
      </c>
      <c r="U320" s="42">
        <v>157</v>
      </c>
      <c r="V320" s="42">
        <v>109.5</v>
      </c>
      <c r="W320" s="42">
        <v>119.2</v>
      </c>
      <c r="X320" s="23">
        <f>[1]ישיר!D309/1000</f>
        <v>17448.414000000001</v>
      </c>
      <c r="Y320" s="23">
        <v>10874.762000000001</v>
      </c>
      <c r="Z320" s="23">
        <f>[1]עקיף!H309</f>
        <v>1903</v>
      </c>
      <c r="AA320" s="23">
        <f>[1]עקיף!P309</f>
        <v>1599</v>
      </c>
      <c r="AB320" s="23">
        <f>[1]עקיף!Q309</f>
        <v>13381</v>
      </c>
      <c r="AC320" s="60">
        <f>[2]monthly!AY417</f>
        <v>5.0857768584986009E-2</v>
      </c>
      <c r="AD320" s="60">
        <f>[2]monthly!AZ417</f>
        <v>0.78969998318560675</v>
      </c>
      <c r="AE320" s="60">
        <f>[2]monthly!BA417</f>
        <v>0.74953760418918591</v>
      </c>
      <c r="AF320" s="82">
        <v>11082.611234080619</v>
      </c>
      <c r="AG320" s="80">
        <v>3536.93510479726</v>
      </c>
      <c r="AH320" s="64">
        <v>194000</v>
      </c>
      <c r="AI320" s="4">
        <v>452.1</v>
      </c>
      <c r="AJ320" s="69">
        <v>417.8</v>
      </c>
      <c r="AK320" s="68">
        <v>87.7</v>
      </c>
      <c r="AL320" s="74">
        <v>91.775054830942452</v>
      </c>
      <c r="AM320" s="73">
        <v>62064</v>
      </c>
      <c r="AT320" s="68"/>
      <c r="AU320" s="68"/>
      <c r="AV320" s="68"/>
      <c r="AW320" s="68"/>
    </row>
    <row r="321" spans="1:49" ht="16.5" thickBot="1">
      <c r="A321" s="28">
        <v>44317</v>
      </c>
      <c r="B321" s="29">
        <f t="shared" si="12"/>
        <v>5</v>
      </c>
      <c r="C321" s="29">
        <f t="shared" si="13"/>
        <v>2</v>
      </c>
      <c r="D321" s="29">
        <f t="shared" si="14"/>
        <v>2021</v>
      </c>
      <c r="E321" s="21">
        <v>95.656279509000001</v>
      </c>
      <c r="F321" s="52">
        <v>16064</v>
      </c>
      <c r="G321" s="52">
        <v>13829</v>
      </c>
      <c r="H321" s="50">
        <v>10335</v>
      </c>
      <c r="I321" s="47">
        <v>2103</v>
      </c>
      <c r="J321" s="13">
        <v>139.30000000000001</v>
      </c>
      <c r="K321" s="42">
        <v>395.8</v>
      </c>
      <c r="L321" s="23">
        <v>65.169500000000014</v>
      </c>
      <c r="M321" s="30">
        <v>101.21</v>
      </c>
      <c r="N321" s="30">
        <v>3.2622631578947372</v>
      </c>
      <c r="O321" s="12">
        <v>1665.768</v>
      </c>
      <c r="P321" s="12">
        <v>1740.3660000000004</v>
      </c>
      <c r="Q321" s="12">
        <v>13520.2290527</v>
      </c>
      <c r="R321" s="12">
        <v>4167.8495000000012</v>
      </c>
      <c r="S321" s="34">
        <v>0.17</v>
      </c>
      <c r="T321" s="42">
        <v>146</v>
      </c>
      <c r="U321" s="42">
        <v>149.80000000000001</v>
      </c>
      <c r="V321" s="42">
        <v>101.3</v>
      </c>
      <c r="W321" s="42">
        <v>119.2</v>
      </c>
      <c r="X321" s="23">
        <f>[1]ישיר!D310/1000</f>
        <v>16553.191999999999</v>
      </c>
      <c r="Y321" s="23">
        <v>10096.593999999999</v>
      </c>
      <c r="Z321" s="23">
        <f>[1]עקיף!H310</f>
        <v>2103</v>
      </c>
      <c r="AA321" s="23">
        <f>[1]עקיף!P310</f>
        <v>1532</v>
      </c>
      <c r="AB321" s="23">
        <f>[1]עקיף!Q310</f>
        <v>13970</v>
      </c>
      <c r="AC321" s="60">
        <f>[2]monthly!AY418</f>
        <v>4.9846907532149425E-2</v>
      </c>
      <c r="AD321" s="60">
        <f>[2]monthly!AZ418</f>
        <v>0.78360805201660311</v>
      </c>
      <c r="AE321" s="60">
        <f>[2]monthly!BA418</f>
        <v>0.74454761390628377</v>
      </c>
      <c r="AF321" s="82">
        <v>10987.331225566242</v>
      </c>
      <c r="AG321" s="80">
        <v>3559.2012274346098</v>
      </c>
      <c r="AH321" s="64">
        <v>198350</v>
      </c>
      <c r="AI321" s="4">
        <v>454.4</v>
      </c>
      <c r="AJ321" s="69">
        <v>395.7</v>
      </c>
      <c r="AK321" s="68">
        <v>85.7</v>
      </c>
      <c r="AL321" s="74">
        <v>92.443852798496408</v>
      </c>
      <c r="AM321" s="73">
        <v>56400</v>
      </c>
      <c r="AT321" s="68"/>
      <c r="AU321" s="68"/>
      <c r="AV321" s="68"/>
      <c r="AW321" s="68"/>
    </row>
    <row r="322" spans="1:49" ht="16.5" thickBot="1">
      <c r="A322" s="28">
        <v>44348</v>
      </c>
      <c r="B322" s="29">
        <f t="shared" si="12"/>
        <v>6</v>
      </c>
      <c r="C322" s="29">
        <f t="shared" si="13"/>
        <v>2</v>
      </c>
      <c r="D322" s="29">
        <f t="shared" si="14"/>
        <v>2021</v>
      </c>
      <c r="E322" s="21">
        <v>95.750708215299994</v>
      </c>
      <c r="F322" s="52">
        <v>16102</v>
      </c>
      <c r="G322" s="52">
        <v>12143</v>
      </c>
      <c r="H322" s="50">
        <v>7962</v>
      </c>
      <c r="I322" s="47">
        <v>2429</v>
      </c>
      <c r="J322" s="13">
        <v>141.80000000000001</v>
      </c>
      <c r="K322" s="42">
        <v>420.4</v>
      </c>
      <c r="L322" s="23">
        <v>71.378181818181815</v>
      </c>
      <c r="M322" s="30">
        <v>100.64</v>
      </c>
      <c r="N322" s="30">
        <v>3.2517272727272726</v>
      </c>
      <c r="O322" s="12">
        <v>1690.5636363636361</v>
      </c>
      <c r="P322" s="12">
        <v>1764.1018181818183</v>
      </c>
      <c r="Q322" s="12">
        <v>14097.169078499999</v>
      </c>
      <c r="R322" s="12">
        <v>4238.4895454545458</v>
      </c>
      <c r="S322" s="34">
        <v>0.17</v>
      </c>
      <c r="T322" s="42">
        <v>153.1</v>
      </c>
      <c r="U322" s="42">
        <v>160</v>
      </c>
      <c r="V322" s="42">
        <v>105.2</v>
      </c>
      <c r="W322" s="42">
        <v>135.30000000000001</v>
      </c>
      <c r="X322" s="23">
        <f>[1]ישיר!D311/1000</f>
        <v>16008.565000000001</v>
      </c>
      <c r="Y322" s="23">
        <v>8974.6550000000007</v>
      </c>
      <c r="Z322" s="23">
        <f>[1]עקיף!H311</f>
        <v>2429</v>
      </c>
      <c r="AA322" s="23">
        <f>[1]עקיף!P311</f>
        <v>1734</v>
      </c>
      <c r="AB322" s="23">
        <f>[1]עקיף!Q311</f>
        <v>12125</v>
      </c>
      <c r="AC322" s="60">
        <f>[2]monthly!AY419</f>
        <v>4.980842911877395E-2</v>
      </c>
      <c r="AD322" s="60">
        <f>[2]monthly!AZ419</f>
        <v>0.79299043062200958</v>
      </c>
      <c r="AE322" s="60">
        <f>[2]monthly!BA419</f>
        <v>0.7534928229665071</v>
      </c>
      <c r="AF322" s="82">
        <v>10983.69781865635</v>
      </c>
      <c r="AG322" s="80">
        <v>3629.02670670618</v>
      </c>
      <c r="AH322" s="64">
        <v>200175</v>
      </c>
      <c r="AI322" s="4">
        <v>459.9</v>
      </c>
      <c r="AJ322" s="69">
        <v>420.5</v>
      </c>
      <c r="AK322" s="68">
        <v>89.5</v>
      </c>
      <c r="AL322" s="74">
        <v>93.422628751454752</v>
      </c>
      <c r="AM322" s="73">
        <v>57000</v>
      </c>
      <c r="AT322" s="68"/>
      <c r="AU322" s="68"/>
      <c r="AV322" s="68"/>
      <c r="AW322" s="68"/>
    </row>
    <row r="323" spans="1:49" ht="16.5" thickBot="1">
      <c r="A323" s="28">
        <v>44378</v>
      </c>
      <c r="B323" s="29">
        <f t="shared" si="12"/>
        <v>7</v>
      </c>
      <c r="C323" s="29">
        <f t="shared" si="13"/>
        <v>3</v>
      </c>
      <c r="D323" s="29">
        <f t="shared" si="14"/>
        <v>2021</v>
      </c>
      <c r="E323" s="21">
        <v>96.128423040599998</v>
      </c>
      <c r="F323" s="52">
        <v>19684</v>
      </c>
      <c r="G323" s="53">
        <v>15356</v>
      </c>
      <c r="H323" s="50">
        <v>11712</v>
      </c>
      <c r="I323" s="47">
        <v>2002</v>
      </c>
      <c r="J323" s="13">
        <v>138.19999999999999</v>
      </c>
      <c r="K323" s="42">
        <v>423.9</v>
      </c>
      <c r="L323" s="23">
        <v>72.485238095238103</v>
      </c>
      <c r="M323" s="30">
        <v>100.97</v>
      </c>
      <c r="N323" s="30">
        <v>3.2706</v>
      </c>
      <c r="O323" s="12">
        <v>1671.2939999999999</v>
      </c>
      <c r="P323" s="12">
        <v>1746.6389999999997</v>
      </c>
      <c r="Q323" s="12">
        <v>14639.072870095239</v>
      </c>
      <c r="R323" s="12">
        <v>4363.7128571428575</v>
      </c>
      <c r="S323" s="34">
        <v>0.17</v>
      </c>
      <c r="T323" s="42">
        <v>152</v>
      </c>
      <c r="U323" s="42">
        <v>155.4</v>
      </c>
      <c r="V323" s="42">
        <v>106.5</v>
      </c>
      <c r="W323" s="42">
        <v>138.4</v>
      </c>
      <c r="X323" s="23">
        <f>[1]ישיר!D312/1000</f>
        <v>20407.745999999999</v>
      </c>
      <c r="Y323" s="23">
        <v>11473.898999999999</v>
      </c>
      <c r="Z323" s="23">
        <f>[1]עקיף!H312</f>
        <v>2002</v>
      </c>
      <c r="AA323" s="23">
        <f>[1]עקיף!P312</f>
        <v>1693</v>
      </c>
      <c r="AB323" s="23">
        <f>[1]עקיף!Q312</f>
        <v>15407</v>
      </c>
      <c r="AC323" s="60">
        <f>[2]monthly!AY420</f>
        <v>4.7987476292259995E-2</v>
      </c>
      <c r="AD323" s="60">
        <f>[2]monthly!AZ420</f>
        <v>0.79521677718991635</v>
      </c>
      <c r="AE323" s="60">
        <f>[2]monthly!BA420</f>
        <v>0.75705633094730795</v>
      </c>
      <c r="AF323" s="82">
        <v>10947.643324273868</v>
      </c>
      <c r="AG323" s="80">
        <v>3702.36214936438</v>
      </c>
      <c r="AH323" s="64">
        <v>201695</v>
      </c>
      <c r="AI323" s="4">
        <v>465.4</v>
      </c>
      <c r="AJ323" s="69">
        <v>423.9</v>
      </c>
      <c r="AK323" s="68">
        <v>90.6</v>
      </c>
      <c r="AL323" s="74">
        <v>93.990784956408291</v>
      </c>
      <c r="AM323" s="73">
        <v>63552</v>
      </c>
      <c r="AT323" s="68"/>
      <c r="AU323" s="68"/>
      <c r="AV323" s="68"/>
      <c r="AW323" s="68"/>
    </row>
    <row r="324" spans="1:49" ht="16.5" thickBot="1">
      <c r="A324" s="28">
        <v>44409</v>
      </c>
      <c r="B324" s="29">
        <f t="shared" si="12"/>
        <v>8</v>
      </c>
      <c r="C324" s="29">
        <f t="shared" si="13"/>
        <v>3</v>
      </c>
      <c r="D324" s="29">
        <f t="shared" si="14"/>
        <v>2021</v>
      </c>
      <c r="E324" s="21">
        <v>96.411709159599994</v>
      </c>
      <c r="F324" s="52">
        <v>18211</v>
      </c>
      <c r="G324" s="53">
        <v>13950</v>
      </c>
      <c r="H324" s="50">
        <v>9774</v>
      </c>
      <c r="I324" s="47">
        <v>2240</v>
      </c>
      <c r="J324" s="13">
        <v>134.69999999999999</v>
      </c>
      <c r="K324" s="42">
        <v>423</v>
      </c>
      <c r="L324" s="23">
        <v>67.730454545454549</v>
      </c>
      <c r="M324" s="30">
        <v>101.54</v>
      </c>
      <c r="N324" s="30">
        <v>3.2237</v>
      </c>
      <c r="O324" s="12">
        <v>1721.14</v>
      </c>
      <c r="P324" s="12">
        <v>1780.7313043478257</v>
      </c>
      <c r="Q324" s="12">
        <v>14856.517714863638</v>
      </c>
      <c r="R324" s="12">
        <v>4453.6568181818184</v>
      </c>
      <c r="S324" s="34">
        <v>0.17</v>
      </c>
      <c r="T324" s="42">
        <v>157.69999999999999</v>
      </c>
      <c r="U324" s="42">
        <v>162.6</v>
      </c>
      <c r="V324" s="42">
        <v>107.5</v>
      </c>
      <c r="W324" s="42">
        <v>140.1</v>
      </c>
      <c r="X324" s="23">
        <f>[1]ישיר!D313/1000</f>
        <v>18671.736000000001</v>
      </c>
      <c r="Y324" s="23">
        <v>10549.65</v>
      </c>
      <c r="Z324" s="23">
        <f>[1]עקיף!H313</f>
        <v>2240</v>
      </c>
      <c r="AA324" s="23">
        <f>[1]עקיף!P313</f>
        <v>1925</v>
      </c>
      <c r="AB324" s="23">
        <f>[1]עקיף!Q313</f>
        <v>13939</v>
      </c>
      <c r="AC324" s="60">
        <f>[2]monthly!AY421</f>
        <v>4.7637641546270981E-2</v>
      </c>
      <c r="AD324" s="60">
        <f>[2]monthly!AZ421</f>
        <v>0.79898725671362414</v>
      </c>
      <c r="AE324" s="60">
        <f>[2]monthly!BA421</f>
        <v>0.76092538817826205</v>
      </c>
      <c r="AF324" s="82">
        <v>10950.023956177492</v>
      </c>
      <c r="AG324" s="80">
        <v>3735.4349543314102</v>
      </c>
      <c r="AH324" s="64">
        <v>205907</v>
      </c>
      <c r="AI324" s="4">
        <v>467.3</v>
      </c>
      <c r="AJ324" s="69">
        <v>422.7</v>
      </c>
      <c r="AK324" s="68">
        <v>89.8</v>
      </c>
      <c r="AL324" s="74">
        <v>94.609275211398952</v>
      </c>
      <c r="AM324" s="73">
        <v>61020</v>
      </c>
      <c r="AT324" s="68"/>
      <c r="AU324" s="68"/>
      <c r="AV324" s="68"/>
      <c r="AW324" s="68"/>
    </row>
    <row r="325" spans="1:49" ht="16.5" thickBot="1">
      <c r="A325" s="28">
        <v>44440</v>
      </c>
      <c r="B325" s="29">
        <f t="shared" si="12"/>
        <v>9</v>
      </c>
      <c r="C325" s="29">
        <f t="shared" si="13"/>
        <v>3</v>
      </c>
      <c r="D325" s="29">
        <f t="shared" si="14"/>
        <v>2021</v>
      </c>
      <c r="E325" s="21">
        <v>96.600566572199995</v>
      </c>
      <c r="F325" s="52">
        <v>17169</v>
      </c>
      <c r="G325" s="52">
        <v>7847</v>
      </c>
      <c r="H325" s="50">
        <v>4672</v>
      </c>
      <c r="I325" s="47">
        <v>1505</v>
      </c>
      <c r="J325" s="13">
        <v>139</v>
      </c>
      <c r="K325" s="42">
        <v>417.1</v>
      </c>
      <c r="L325" s="23">
        <v>71.582857142857137</v>
      </c>
      <c r="M325" s="30">
        <v>103.14</v>
      </c>
      <c r="N325" s="30">
        <v>3.2075</v>
      </c>
      <c r="O325" s="12">
        <v>1793.543076923077</v>
      </c>
      <c r="P325" s="12">
        <v>1851.7684615384617</v>
      </c>
      <c r="Q325" s="12">
        <v>15023.538551000001</v>
      </c>
      <c r="R325" s="12">
        <v>4445.5433333333331</v>
      </c>
      <c r="S325" s="34">
        <v>0.17</v>
      </c>
      <c r="T325" s="42">
        <v>158.5</v>
      </c>
      <c r="U325" s="42">
        <v>161.69999999999999</v>
      </c>
      <c r="V325" s="42">
        <v>107.3</v>
      </c>
      <c r="W325" s="42">
        <v>146</v>
      </c>
      <c r="X325" s="23">
        <f>[1]ישיר!D314/1000</f>
        <v>17560.034</v>
      </c>
      <c r="Y325" s="23">
        <v>10067.424999999999</v>
      </c>
      <c r="Z325" s="23">
        <f>[1]עקיף!H314</f>
        <v>1505</v>
      </c>
      <c r="AA325" s="23">
        <f>[1]עקיף!P314</f>
        <v>1684</v>
      </c>
      <c r="AB325" s="23">
        <f>[1]עקיף!Q314</f>
        <v>7861</v>
      </c>
      <c r="AC325" s="60">
        <f>[2]monthly!AY422</f>
        <v>4.7885888945491596E-2</v>
      </c>
      <c r="AD325" s="60">
        <f>[2]monthly!AZ422</f>
        <v>0.80053255289545644</v>
      </c>
      <c r="AE325" s="60">
        <f>[2]monthly!BA422</f>
        <v>0.76219833997025377</v>
      </c>
      <c r="AF325" s="82">
        <v>11163.365804731458</v>
      </c>
      <c r="AG325" s="80">
        <v>3676.9851459240699</v>
      </c>
      <c r="AH325" s="64">
        <v>203980</v>
      </c>
      <c r="AI325" s="4">
        <v>471</v>
      </c>
      <c r="AJ325" s="69">
        <v>417.2</v>
      </c>
      <c r="AK325" s="68">
        <v>91.1</v>
      </c>
      <c r="AL325" s="74">
        <v>95.14116561580272</v>
      </c>
      <c r="AM325" s="73">
        <v>56496</v>
      </c>
      <c r="AT325" s="68"/>
      <c r="AU325" s="68"/>
      <c r="AV325" s="68"/>
      <c r="AW325" s="68"/>
    </row>
    <row r="326" spans="1:49" ht="16.5" thickBot="1">
      <c r="A326" s="28">
        <v>44470</v>
      </c>
      <c r="B326" s="29">
        <f t="shared" ref="B326:B361" si="15">MONTH(A326)</f>
        <v>10</v>
      </c>
      <c r="C326" s="29">
        <f t="shared" ref="C326:C361" si="16">ROUNDUP(B326/3,0)</f>
        <v>4</v>
      </c>
      <c r="D326" s="29">
        <f t="shared" ref="D326:D361" si="17">YEAR(A326)</f>
        <v>2021</v>
      </c>
      <c r="E326" s="21">
        <v>96.694995278600004</v>
      </c>
      <c r="F326" s="52">
        <v>17972</v>
      </c>
      <c r="G326" s="52">
        <v>18882</v>
      </c>
      <c r="H326" s="54">
        <v>14959</v>
      </c>
      <c r="I326" s="55">
        <v>1789</v>
      </c>
      <c r="J326" s="13">
        <v>137.6</v>
      </c>
      <c r="K326" s="42">
        <v>442.7</v>
      </c>
      <c r="L326" s="23">
        <v>81.476666666666688</v>
      </c>
      <c r="M326" s="30">
        <v>103.51</v>
      </c>
      <c r="N326" s="30">
        <v>3.2155</v>
      </c>
      <c r="O326" s="12">
        <v>1833.9533333333331</v>
      </c>
      <c r="P326" s="12">
        <v>1895.9590476190472</v>
      </c>
      <c r="Q326" s="12">
        <v>14879.003831809525</v>
      </c>
      <c r="R326" s="12">
        <v>4460.7076190476191</v>
      </c>
      <c r="S326" s="34">
        <v>0.17</v>
      </c>
      <c r="T326" s="42">
        <v>159.4</v>
      </c>
      <c r="U326" s="42">
        <v>160.9</v>
      </c>
      <c r="V326" s="42">
        <v>106.3</v>
      </c>
      <c r="W326" s="42">
        <v>138.5</v>
      </c>
      <c r="X326" s="23">
        <f>[1]ישיר!D315/1000</f>
        <v>18683.912</v>
      </c>
      <c r="Y326" s="23">
        <v>10112.58</v>
      </c>
      <c r="Z326" s="23">
        <f>[1]עקיף!H315</f>
        <v>1789</v>
      </c>
      <c r="AA326" s="23">
        <f>[1]עקיף!P315</f>
        <v>1685</v>
      </c>
      <c r="AB326" s="23">
        <f>[1]עקיף!Q315</f>
        <v>18433</v>
      </c>
      <c r="AC326" s="60">
        <f>[2]monthly!AY423</f>
        <v>4.3811740830274275E-2</v>
      </c>
      <c r="AD326" s="60">
        <f>[2]monthly!AZ423</f>
        <v>0.80087480281084178</v>
      </c>
      <c r="AE326" s="60">
        <f>[2]monthly!BA423</f>
        <v>0.76578708351259617</v>
      </c>
      <c r="AF326" s="82">
        <v>10846.007391482726</v>
      </c>
      <c r="AG326" s="80">
        <v>3837.9806598067103</v>
      </c>
      <c r="AH326" s="64">
        <v>207473</v>
      </c>
      <c r="AI326" s="4">
        <v>477.6</v>
      </c>
      <c r="AJ326" s="69">
        <v>442.7</v>
      </c>
      <c r="AK326" s="68">
        <v>93.6</v>
      </c>
      <c r="AL326" s="74">
        <v>95.73641745693719</v>
      </c>
      <c r="AM326" s="73">
        <v>66936</v>
      </c>
      <c r="AT326" s="68"/>
      <c r="AU326" s="68"/>
      <c r="AV326" s="68"/>
      <c r="AW326" s="68"/>
    </row>
    <row r="327" spans="1:49" ht="16.5" thickBot="1">
      <c r="A327" s="28">
        <v>44501</v>
      </c>
      <c r="B327" s="29">
        <f t="shared" si="15"/>
        <v>11</v>
      </c>
      <c r="C327" s="29">
        <f t="shared" si="16"/>
        <v>4</v>
      </c>
      <c r="D327" s="29">
        <f t="shared" si="17"/>
        <v>2021</v>
      </c>
      <c r="E327" s="21">
        <v>96.600566572199995</v>
      </c>
      <c r="F327" s="52">
        <v>19822</v>
      </c>
      <c r="G327" s="52">
        <v>15592</v>
      </c>
      <c r="H327" s="54">
        <v>12412</v>
      </c>
      <c r="I327" s="55">
        <v>2158</v>
      </c>
      <c r="J327" s="13">
        <v>138.1</v>
      </c>
      <c r="K327" s="42">
        <v>429</v>
      </c>
      <c r="L327" s="23">
        <v>79.147500000000008</v>
      </c>
      <c r="M327" s="30">
        <v>103.45</v>
      </c>
      <c r="N327" s="30">
        <v>3.1204999999999998</v>
      </c>
      <c r="O327" s="12">
        <v>1887.598181818182</v>
      </c>
      <c r="P327" s="12">
        <v>1976.3709090909092</v>
      </c>
      <c r="Q327" s="12">
        <v>15814.932896238097</v>
      </c>
      <c r="R327" s="12">
        <v>4667.4876190476189</v>
      </c>
      <c r="S327" s="34">
        <v>0.17</v>
      </c>
      <c r="T327" s="42">
        <v>159.9</v>
      </c>
      <c r="U327" s="42">
        <v>159.4</v>
      </c>
      <c r="V327" s="42">
        <v>105.1</v>
      </c>
      <c r="W327" s="42">
        <v>141.80000000000001</v>
      </c>
      <c r="X327" s="23">
        <f>[1]ישיר!D316/1000</f>
        <v>20545.993999999999</v>
      </c>
      <c r="Y327" s="23">
        <v>10320.450000000001</v>
      </c>
      <c r="Z327" s="23">
        <f>[1]עקיף!H316</f>
        <v>2158</v>
      </c>
      <c r="AA327" s="23">
        <f>[1]עקיף!P316</f>
        <v>1525</v>
      </c>
      <c r="AB327" s="23">
        <f>[1]עקיף!Q316</f>
        <v>16095</v>
      </c>
      <c r="AC327" s="60">
        <f>[2]monthly!AY424</f>
        <v>3.8396885782535604E-2</v>
      </c>
      <c r="AD327" s="60">
        <f>[2]monthly!AZ424</f>
        <v>0.80847360640885035</v>
      </c>
      <c r="AE327" s="60">
        <f>[2]monthly!BA424</f>
        <v>0.77740689523627871</v>
      </c>
      <c r="AF327" s="82">
        <v>10882.210307121057</v>
      </c>
      <c r="AG327" s="80">
        <v>3863.92970803751</v>
      </c>
      <c r="AH327" s="64">
        <v>208770</v>
      </c>
      <c r="AI327" s="4">
        <v>485.7</v>
      </c>
      <c r="AJ327" s="69">
        <v>429.1</v>
      </c>
      <c r="AK327" s="68">
        <v>89.2</v>
      </c>
      <c r="AL327" s="74">
        <v>96.06361811726579</v>
      </c>
      <c r="AM327" s="73">
        <v>69768</v>
      </c>
      <c r="AT327" s="68"/>
      <c r="AU327" s="68"/>
      <c r="AV327" s="68"/>
      <c r="AW327" s="68"/>
    </row>
    <row r="328" spans="1:49" ht="16.5" thickBot="1">
      <c r="A328" s="28">
        <v>44531</v>
      </c>
      <c r="B328" s="29">
        <f t="shared" si="15"/>
        <v>12</v>
      </c>
      <c r="C328" s="29">
        <f t="shared" si="16"/>
        <v>4</v>
      </c>
      <c r="D328" s="29">
        <f t="shared" si="17"/>
        <v>2021</v>
      </c>
      <c r="E328" s="21">
        <v>96.883852691200005</v>
      </c>
      <c r="F328" s="53">
        <v>21004</v>
      </c>
      <c r="G328" s="53">
        <v>12457</v>
      </c>
      <c r="H328" s="54">
        <v>8551</v>
      </c>
      <c r="I328" s="55">
        <v>2018</v>
      </c>
      <c r="J328" s="13">
        <v>138.30000000000001</v>
      </c>
      <c r="K328" s="42">
        <v>420.3</v>
      </c>
      <c r="L328" s="23">
        <v>71.711818181818174</v>
      </c>
      <c r="M328" s="30">
        <v>107.22</v>
      </c>
      <c r="N328" s="30">
        <v>3.1320000000000001</v>
      </c>
      <c r="O328" s="12">
        <v>1914.5309090909091</v>
      </c>
      <c r="P328" s="12">
        <v>1996.1931818181815</v>
      </c>
      <c r="Q328" s="12">
        <v>15474.4317295</v>
      </c>
      <c r="R328" s="12">
        <v>4674.7804545454537</v>
      </c>
      <c r="S328" s="34">
        <v>0.17</v>
      </c>
      <c r="T328" s="42">
        <v>158.9</v>
      </c>
      <c r="U328" s="42">
        <v>159.30000000000001</v>
      </c>
      <c r="V328" s="42">
        <v>105.7</v>
      </c>
      <c r="W328" s="42">
        <v>142.6</v>
      </c>
      <c r="X328" s="23">
        <f>[1]ישיר!D317/1000</f>
        <v>20785.794999999998</v>
      </c>
      <c r="Y328" s="23">
        <v>11168.93</v>
      </c>
      <c r="Z328" s="23">
        <f>[1]עקיף!H317</f>
        <v>2018</v>
      </c>
      <c r="AA328" s="23">
        <f>[1]עקיף!P317</f>
        <v>1741</v>
      </c>
      <c r="AB328" s="23">
        <f>[1]עקיף!Q317</f>
        <v>12310</v>
      </c>
      <c r="AC328" s="60">
        <f>[2]monthly!AY425</f>
        <v>3.599092863664477E-2</v>
      </c>
      <c r="AD328" s="60">
        <f>[2]monthly!AZ425</f>
        <v>0.80568079350766464</v>
      </c>
      <c r="AE328" s="60">
        <f>[2]monthly!BA425</f>
        <v>0.77668359356461492</v>
      </c>
      <c r="AF328" s="82">
        <v>10884.909518405908</v>
      </c>
      <c r="AG328" s="80">
        <v>3889.70980091203</v>
      </c>
      <c r="AH328" s="64">
        <v>212993</v>
      </c>
      <c r="AI328" s="4">
        <v>495.9</v>
      </c>
      <c r="AJ328" s="69">
        <v>420.4</v>
      </c>
      <c r="AK328" s="68">
        <v>95.4</v>
      </c>
      <c r="AL328" s="74">
        <v>96.346777939817514</v>
      </c>
      <c r="AM328" s="73">
        <v>49524</v>
      </c>
      <c r="AT328" s="68"/>
      <c r="AU328" s="68"/>
      <c r="AV328" s="68"/>
      <c r="AW328" s="68"/>
    </row>
    <row r="329" spans="1:49" ht="16.5" thickBot="1">
      <c r="A329" s="28">
        <v>44562</v>
      </c>
      <c r="B329" s="29">
        <f t="shared" si="15"/>
        <v>1</v>
      </c>
      <c r="C329" s="29">
        <f t="shared" si="16"/>
        <v>1</v>
      </c>
      <c r="D329" s="29">
        <f t="shared" si="17"/>
        <v>2022</v>
      </c>
      <c r="E329" s="21">
        <v>97.072710103899993</v>
      </c>
      <c r="F329" s="52">
        <v>29525</v>
      </c>
      <c r="G329" s="52">
        <v>17218</v>
      </c>
      <c r="H329" s="54">
        <v>13877</v>
      </c>
      <c r="I329" s="55">
        <v>2254</v>
      </c>
      <c r="J329" s="13">
        <v>132.5</v>
      </c>
      <c r="K329" s="42">
        <v>425.3</v>
      </c>
      <c r="L329" s="23">
        <v>83.221999999999994</v>
      </c>
      <c r="M329" s="30">
        <v>107.66</v>
      </c>
      <c r="N329" s="30">
        <v>3.1343000000000001</v>
      </c>
      <c r="O329" s="12">
        <v>1987.8100000000004</v>
      </c>
      <c r="P329" s="12">
        <v>2078.3372727272731</v>
      </c>
      <c r="Q329" s="12">
        <v>14531.377490300001</v>
      </c>
      <c r="R329" s="12">
        <v>4573.8250000000007</v>
      </c>
      <c r="S329" s="34">
        <v>0.17</v>
      </c>
      <c r="T329" s="42">
        <v>157.5</v>
      </c>
      <c r="U329" s="42">
        <v>161.4</v>
      </c>
      <c r="V329" s="42">
        <v>104.9</v>
      </c>
      <c r="W329" s="42">
        <v>127.7</v>
      </c>
      <c r="X329" s="23">
        <f>[1]ישיר!D318/1000</f>
        <v>31101.004000000001</v>
      </c>
      <c r="Y329" s="23">
        <v>14640.945</v>
      </c>
      <c r="Z329" s="23">
        <f>[1]עקיף!H318</f>
        <v>2254</v>
      </c>
      <c r="AA329" s="23">
        <f>[1]עקיף!P318</f>
        <v>1535</v>
      </c>
      <c r="AB329" s="23">
        <f>[1]עקיף!Q318</f>
        <v>17666</v>
      </c>
      <c r="AC329" s="60">
        <f>[2]monthly!AY426</f>
        <v>3.3491979552265114E-2</v>
      </c>
      <c r="AD329" s="60">
        <f>[2]monthly!AZ426</f>
        <v>0.80752532561505064</v>
      </c>
      <c r="AE329" s="60">
        <f>[2]monthly!BA426</f>
        <v>0.78047970392161514</v>
      </c>
      <c r="AF329" s="82">
        <v>10900.249612154277</v>
      </c>
      <c r="AG329" s="80">
        <v>3891.6643529132502</v>
      </c>
      <c r="AH329" s="64">
        <v>208737.10440000001</v>
      </c>
      <c r="AI329" s="4">
        <v>503.8</v>
      </c>
      <c r="AJ329" s="69">
        <v>425.4</v>
      </c>
      <c r="AK329" s="68">
        <v>100.5</v>
      </c>
      <c r="AL329" s="74">
        <v>96.918724595611721</v>
      </c>
      <c r="AM329" s="73">
        <v>51492</v>
      </c>
      <c r="AT329" s="68"/>
      <c r="AU329" s="68"/>
      <c r="AV329" s="68"/>
      <c r="AW329" s="68"/>
    </row>
    <row r="330" spans="1:49" ht="16.5" thickBot="1">
      <c r="A330" s="28">
        <v>44593</v>
      </c>
      <c r="B330" s="29">
        <f t="shared" si="15"/>
        <v>2</v>
      </c>
      <c r="C330" s="29">
        <f t="shared" si="16"/>
        <v>1</v>
      </c>
      <c r="D330" s="29">
        <f t="shared" si="17"/>
        <v>2022</v>
      </c>
      <c r="E330" s="21">
        <v>97.733711048200007</v>
      </c>
      <c r="F330" s="52">
        <v>21608</v>
      </c>
      <c r="G330" s="52">
        <v>12821</v>
      </c>
      <c r="H330" s="54">
        <v>9289</v>
      </c>
      <c r="I330" s="55">
        <v>2007</v>
      </c>
      <c r="J330" s="13">
        <v>128.19999999999999</v>
      </c>
      <c r="K330" s="42">
        <v>432.7</v>
      </c>
      <c r="L330" s="23">
        <v>91.641052631578944</v>
      </c>
      <c r="M330" s="30">
        <v>106.59</v>
      </c>
      <c r="N330" s="30">
        <v>3.2139000000000002</v>
      </c>
      <c r="O330" s="12">
        <v>1957.1110000000001</v>
      </c>
      <c r="P330" s="12">
        <v>2054.9734999999996</v>
      </c>
      <c r="Q330" s="12">
        <v>13898.727900947368</v>
      </c>
      <c r="R330" s="12">
        <v>4435.9663157894729</v>
      </c>
      <c r="S330" s="34">
        <v>0.17</v>
      </c>
      <c r="T330" s="42">
        <v>163.6</v>
      </c>
      <c r="U330" s="42">
        <v>164.6</v>
      </c>
      <c r="V330" s="42">
        <v>104.6</v>
      </c>
      <c r="W330" s="42">
        <v>141.30000000000001</v>
      </c>
      <c r="X330" s="23">
        <f>[1]ישיר!D319/1000</f>
        <v>21016.508999999998</v>
      </c>
      <c r="Y330" s="23">
        <v>10812.422</v>
      </c>
      <c r="Z330" s="23">
        <f>[1]עקיף!H319</f>
        <v>2007</v>
      </c>
      <c r="AA330" s="23">
        <f>[1]עקיף!P319</f>
        <v>1576</v>
      </c>
      <c r="AB330" s="23">
        <f>[1]עקיף!Q319</f>
        <v>12872</v>
      </c>
      <c r="AC330" s="60">
        <f>[2]monthly!AY427</f>
        <v>3.4307459911689514E-2</v>
      </c>
      <c r="AD330" s="60">
        <f>[2]monthly!AZ427</f>
        <v>0.81583125962791803</v>
      </c>
      <c r="AE330" s="60">
        <f>[2]monthly!BA427</f>
        <v>0.78786586088399102</v>
      </c>
      <c r="AF330" s="82">
        <v>10860.337680466891</v>
      </c>
      <c r="AG330" s="80">
        <v>3911.7087808340098</v>
      </c>
      <c r="AH330" s="64">
        <v>207047.57010000001</v>
      </c>
      <c r="AI330" s="4">
        <v>511.9</v>
      </c>
      <c r="AJ330" s="69">
        <v>432.8</v>
      </c>
      <c r="AK330" s="68">
        <v>101.5</v>
      </c>
      <c r="AL330" s="74">
        <v>97.264617011985507</v>
      </c>
      <c r="AM330" s="73">
        <v>43800</v>
      </c>
      <c r="AT330" s="68"/>
      <c r="AU330" s="68"/>
      <c r="AV330" s="68"/>
      <c r="AW330" s="68"/>
    </row>
    <row r="331" spans="1:49" ht="16.5" thickBot="1">
      <c r="A331" s="28">
        <v>44621</v>
      </c>
      <c r="B331" s="29">
        <f t="shared" si="15"/>
        <v>3</v>
      </c>
      <c r="C331" s="29">
        <f t="shared" si="16"/>
        <v>1</v>
      </c>
      <c r="D331" s="29">
        <f t="shared" si="17"/>
        <v>2022</v>
      </c>
      <c r="E331" s="21">
        <v>98.300283286099997</v>
      </c>
      <c r="F331" s="52">
        <v>20767</v>
      </c>
      <c r="G331" s="52">
        <v>15630</v>
      </c>
      <c r="H331" s="54">
        <v>11545</v>
      </c>
      <c r="I331" s="55">
        <v>2208</v>
      </c>
      <c r="J331" s="13">
        <v>127.6</v>
      </c>
      <c r="K331" s="42">
        <v>431.5</v>
      </c>
      <c r="L331" s="23">
        <v>108.50260869565219</v>
      </c>
      <c r="M331" s="30">
        <v>103.58</v>
      </c>
      <c r="N331" s="30">
        <v>3.2433000000000001</v>
      </c>
      <c r="O331" s="12">
        <v>2006.3100000000002</v>
      </c>
      <c r="P331" s="12">
        <v>2087.4522222222222</v>
      </c>
      <c r="Q331" s="12">
        <v>13623.262951826087</v>
      </c>
      <c r="R331" s="12">
        <v>4391.2630434782604</v>
      </c>
      <c r="S331" s="34">
        <v>0.17</v>
      </c>
      <c r="T331" s="42">
        <v>163</v>
      </c>
      <c r="U331" s="42">
        <v>163.9</v>
      </c>
      <c r="V331" s="42">
        <v>104.2</v>
      </c>
      <c r="W331" s="42">
        <v>140.80000000000001</v>
      </c>
      <c r="X331" s="23">
        <f>[1]ישיר!D320/1000</f>
        <v>21266.639999999999</v>
      </c>
      <c r="Y331" s="23">
        <v>11318.321</v>
      </c>
      <c r="Z331" s="23">
        <f>[1]עקיף!H320</f>
        <v>2208</v>
      </c>
      <c r="AA331" s="23">
        <f>[1]עקיף!P320</f>
        <v>1895</v>
      </c>
      <c r="AB331" s="23">
        <f>[1]עקיף!Q320</f>
        <v>15648</v>
      </c>
      <c r="AC331" s="60">
        <f>[2]monthly!AY428</f>
        <v>3.0385447739369482E-2</v>
      </c>
      <c r="AD331" s="60">
        <f>[2]monthly!AZ428</f>
        <v>0.80938291476317847</v>
      </c>
      <c r="AE331" s="60">
        <f>[2]monthly!BA428</f>
        <v>0.78481312282528937</v>
      </c>
      <c r="AF331" s="83">
        <v>10937.209576034893</v>
      </c>
      <c r="AG331" s="80">
        <v>3906.8985637054202</v>
      </c>
      <c r="AH331" s="64">
        <v>206163.35860000001</v>
      </c>
      <c r="AI331" s="4">
        <v>517</v>
      </c>
      <c r="AJ331" s="69">
        <v>430.8</v>
      </c>
      <c r="AK331" s="68">
        <v>99.9</v>
      </c>
      <c r="AL331" s="74">
        <v>97.626099211806405</v>
      </c>
      <c r="AM331" s="73">
        <v>46884</v>
      </c>
      <c r="AT331" s="68"/>
      <c r="AU331" s="68"/>
      <c r="AV331" s="68"/>
      <c r="AW331" s="68"/>
    </row>
    <row r="332" spans="1:49" ht="16.5" thickBot="1">
      <c r="A332" s="28">
        <v>44652</v>
      </c>
      <c r="B332" s="29">
        <f t="shared" si="15"/>
        <v>4</v>
      </c>
      <c r="C332" s="29">
        <f t="shared" si="16"/>
        <v>2</v>
      </c>
      <c r="D332" s="29">
        <f t="shared" si="17"/>
        <v>2022</v>
      </c>
      <c r="E332" s="21">
        <v>99.055712936700004</v>
      </c>
      <c r="F332" s="52">
        <v>21678</v>
      </c>
      <c r="G332" s="52">
        <v>14235</v>
      </c>
      <c r="H332" s="54">
        <v>10223</v>
      </c>
      <c r="I332" s="55">
        <v>2159</v>
      </c>
      <c r="J332" s="13">
        <v>133.9</v>
      </c>
      <c r="K332" s="42">
        <v>436.1</v>
      </c>
      <c r="L332" s="23">
        <v>101.77749999999999</v>
      </c>
      <c r="M332" s="30">
        <v>103.79</v>
      </c>
      <c r="N332" s="30">
        <v>3.2422</v>
      </c>
      <c r="O332" s="12">
        <v>2030.7878947368422</v>
      </c>
      <c r="P332" s="12">
        <v>2118.5094736842107</v>
      </c>
      <c r="Q332" s="12">
        <v>13394.163054800001</v>
      </c>
      <c r="R332" s="12">
        <v>4391.2959999999994</v>
      </c>
      <c r="S332" s="34">
        <v>0.17</v>
      </c>
      <c r="T332" s="42">
        <v>163.19999999999999</v>
      </c>
      <c r="U332" s="42">
        <v>166.3</v>
      </c>
      <c r="V332" s="42">
        <v>107.1</v>
      </c>
      <c r="W332" s="42">
        <v>140.69999999999999</v>
      </c>
      <c r="X332" s="23">
        <f>[1]ישיר!D321/1000</f>
        <v>21137.659</v>
      </c>
      <c r="Y332" s="23">
        <v>11789.821</v>
      </c>
      <c r="Z332" s="23">
        <f>[1]עקיף!H321</f>
        <v>2159</v>
      </c>
      <c r="AA332" s="23">
        <f>[1]עקיף!P321</f>
        <v>1814</v>
      </c>
      <c r="AB332" s="23">
        <f>[1]עקיף!Q321</f>
        <v>14196</v>
      </c>
      <c r="AC332" s="60">
        <f>[2]monthly!AY429</f>
        <v>2.8813010046254011E-2</v>
      </c>
      <c r="AD332" s="60">
        <f>[2]monthly!AZ429</f>
        <v>0.80576854599406533</v>
      </c>
      <c r="AE332" s="60">
        <f>[2]monthly!BA429</f>
        <v>0.78255192878338276</v>
      </c>
      <c r="AF332" s="83">
        <v>10895.000295292117</v>
      </c>
      <c r="AG332" s="80">
        <v>3913.61693875014</v>
      </c>
      <c r="AH332" s="64">
        <v>197630.3927</v>
      </c>
      <c r="AI332" s="4">
        <v>525.29999999999995</v>
      </c>
      <c r="AJ332" s="69">
        <v>436</v>
      </c>
      <c r="AK332" s="68">
        <v>99.1</v>
      </c>
      <c r="AL332" s="74">
        <v>98.139856542897846</v>
      </c>
      <c r="AM332" s="73">
        <v>44280</v>
      </c>
      <c r="AT332" s="68"/>
      <c r="AU332" s="68"/>
      <c r="AV332" s="68"/>
      <c r="AW332" s="68"/>
    </row>
    <row r="333" spans="1:49" ht="16.5" thickBot="1">
      <c r="A333" s="28">
        <v>44682</v>
      </c>
      <c r="B333" s="29">
        <f t="shared" si="15"/>
        <v>5</v>
      </c>
      <c r="C333" s="29">
        <f t="shared" si="16"/>
        <v>2</v>
      </c>
      <c r="D333" s="29">
        <f t="shared" si="17"/>
        <v>2022</v>
      </c>
      <c r="E333" s="21">
        <v>99.622285174699996</v>
      </c>
      <c r="F333" s="52">
        <v>22082</v>
      </c>
      <c r="G333" s="52">
        <v>15248</v>
      </c>
      <c r="H333" s="54">
        <v>11608</v>
      </c>
      <c r="I333" s="55">
        <v>1996</v>
      </c>
      <c r="J333" s="13">
        <v>129.30000000000001</v>
      </c>
      <c r="K333" s="42">
        <v>439.1</v>
      </c>
      <c r="L333" s="23">
        <v>112.19500000000001</v>
      </c>
      <c r="M333" s="30">
        <v>104.23</v>
      </c>
      <c r="N333" s="30">
        <v>3.3820000000000001</v>
      </c>
      <c r="O333" s="12">
        <v>1898.3919047619045</v>
      </c>
      <c r="P333" s="12">
        <v>1968.3299999999997</v>
      </c>
      <c r="Q333" s="12">
        <v>11829.729501476189</v>
      </c>
      <c r="R333" s="12">
        <v>4040.6223809523808</v>
      </c>
      <c r="S333" s="34">
        <v>0.17</v>
      </c>
      <c r="T333" s="42">
        <v>164.7</v>
      </c>
      <c r="U333" s="42">
        <v>163.9</v>
      </c>
      <c r="V333" s="42">
        <v>106.2</v>
      </c>
      <c r="W333" s="42">
        <v>148.80000000000001</v>
      </c>
      <c r="X333" s="23">
        <f>[1]ישיר!D322/1000</f>
        <v>23433.864000000001</v>
      </c>
      <c r="Y333" s="23">
        <v>13087.296</v>
      </c>
      <c r="Z333" s="23">
        <f>[1]עקיף!H322</f>
        <v>1996</v>
      </c>
      <c r="AA333" s="23">
        <f>[1]עקיף!P322</f>
        <v>1598</v>
      </c>
      <c r="AB333" s="23">
        <f>[1]עקיף!Q322</f>
        <v>15202</v>
      </c>
      <c r="AC333" s="60">
        <f>[2]monthly!AY430</f>
        <v>3.0146651505874807E-2</v>
      </c>
      <c r="AD333" s="60">
        <f>[2]monthly!AZ430</f>
        <v>0.80937772848479128</v>
      </c>
      <c r="AE333" s="60">
        <f>[2]monthly!BA430</f>
        <v>0.78497770016754376</v>
      </c>
      <c r="AF333" s="83">
        <v>10887.198831044339</v>
      </c>
      <c r="AG333" s="80">
        <v>3935.7597178641304</v>
      </c>
      <c r="AH333" s="64">
        <v>199808.19769999999</v>
      </c>
      <c r="AI333" s="4">
        <v>536.29999999999995</v>
      </c>
      <c r="AJ333" s="69">
        <v>439</v>
      </c>
      <c r="AK333" s="68">
        <v>102.8</v>
      </c>
      <c r="AL333" s="74">
        <v>98.397405633419041</v>
      </c>
      <c r="AM333" s="73">
        <v>44220</v>
      </c>
      <c r="AT333" s="68"/>
      <c r="AU333" s="68"/>
      <c r="AV333" s="68"/>
      <c r="AW333" s="68"/>
    </row>
    <row r="334" spans="1:49" ht="16.5" thickBot="1">
      <c r="A334" s="28">
        <v>44713</v>
      </c>
      <c r="B334" s="29">
        <f t="shared" si="15"/>
        <v>6</v>
      </c>
      <c r="C334" s="29">
        <f t="shared" si="16"/>
        <v>2</v>
      </c>
      <c r="D334" s="29">
        <f t="shared" si="17"/>
        <v>2022</v>
      </c>
      <c r="E334" s="21">
        <v>100</v>
      </c>
      <c r="F334" s="52">
        <v>19915</v>
      </c>
      <c r="G334" s="52">
        <v>12737</v>
      </c>
      <c r="H334" s="54">
        <v>8692</v>
      </c>
      <c r="I334" s="55">
        <v>2099</v>
      </c>
      <c r="J334" s="13">
        <v>128.6</v>
      </c>
      <c r="K334" s="42">
        <v>434.8</v>
      </c>
      <c r="L334" s="23">
        <v>114.73500000000001</v>
      </c>
      <c r="M334" s="30">
        <v>101.84</v>
      </c>
      <c r="N334" s="30">
        <v>3.4140000000000001</v>
      </c>
      <c r="O334" s="12">
        <v>1847.224285714286</v>
      </c>
      <c r="P334" s="12">
        <v>1902.3242857142857</v>
      </c>
      <c r="Q334" s="12">
        <v>11418.919084809522</v>
      </c>
      <c r="R334" s="12">
        <v>3898.9466666666676</v>
      </c>
      <c r="S334" s="34">
        <v>0.17</v>
      </c>
      <c r="T334" s="42">
        <v>163.4</v>
      </c>
      <c r="U334" s="42">
        <v>162.9</v>
      </c>
      <c r="V334" s="42">
        <v>105.6</v>
      </c>
      <c r="W334" s="42">
        <v>145.6</v>
      </c>
      <c r="X334" s="23">
        <f>[1]ישיר!D323/1000</f>
        <v>19933.274000000001</v>
      </c>
      <c r="Y334" s="23">
        <v>9697.2099999999991</v>
      </c>
      <c r="Z334" s="23">
        <f>[1]עקיף!H323</f>
        <v>2099</v>
      </c>
      <c r="AA334" s="23">
        <f>[1]עקיף!P323</f>
        <v>1800</v>
      </c>
      <c r="AB334" s="23">
        <f>[1]עקיף!Q323</f>
        <v>12591</v>
      </c>
      <c r="AC334" s="60">
        <f>[2]monthly!AY431</f>
        <v>2.996483273752434E-2</v>
      </c>
      <c r="AD334" s="60">
        <f>[2]monthly!AZ431</f>
        <v>0.81190712161970824</v>
      </c>
      <c r="AE334" s="60">
        <f>[2]monthly!BA431</f>
        <v>0.78760205767143321</v>
      </c>
      <c r="AF334" s="83">
        <v>10826.041922213084</v>
      </c>
      <c r="AG334" s="80">
        <v>3926.4538401642799</v>
      </c>
      <c r="AH334" s="64">
        <v>193809.54860000001</v>
      </c>
      <c r="AI334" s="4">
        <v>543.79999999999995</v>
      </c>
      <c r="AJ334" s="69">
        <v>434.8</v>
      </c>
      <c r="AK334" s="68">
        <v>102.9</v>
      </c>
      <c r="AL334" s="74">
        <v>98.52637827045713</v>
      </c>
      <c r="AM334" s="73">
        <v>39936</v>
      </c>
      <c r="AT334" s="68"/>
      <c r="AU334" s="68"/>
      <c r="AV334" s="68"/>
      <c r="AW334" s="68"/>
    </row>
    <row r="335" spans="1:49" ht="16.5" thickBot="1">
      <c r="A335" s="28">
        <v>44743</v>
      </c>
      <c r="B335" s="29">
        <f t="shared" si="15"/>
        <v>7</v>
      </c>
      <c r="C335" s="29">
        <f t="shared" si="16"/>
        <v>3</v>
      </c>
      <c r="D335" s="29">
        <f t="shared" si="17"/>
        <v>2022</v>
      </c>
      <c r="E335" s="21">
        <v>101.1331444759</v>
      </c>
      <c r="F335" s="52">
        <v>20963</v>
      </c>
      <c r="G335" s="52">
        <v>15908</v>
      </c>
      <c r="H335" s="54">
        <v>12489</v>
      </c>
      <c r="I335" s="55">
        <v>2026</v>
      </c>
      <c r="J335" s="13">
        <v>125</v>
      </c>
      <c r="K335" s="42">
        <v>432.7</v>
      </c>
      <c r="L335" s="23">
        <v>101.61899999999999</v>
      </c>
      <c r="M335" s="30">
        <v>100.89</v>
      </c>
      <c r="N335" s="30">
        <v>3.4655238095238108</v>
      </c>
      <c r="O335" s="12">
        <v>1878.422380952381</v>
      </c>
      <c r="P335" s="12">
        <v>1939.4185714285711</v>
      </c>
      <c r="Q335" s="12">
        <v>11622.63154305</v>
      </c>
      <c r="R335" s="12">
        <v>3911.729499999999</v>
      </c>
      <c r="S335" s="34">
        <v>0.17</v>
      </c>
      <c r="T335" s="42">
        <v>162</v>
      </c>
      <c r="U335" s="42">
        <v>158.69999999999999</v>
      </c>
      <c r="V335" s="42">
        <v>106.5</v>
      </c>
      <c r="W335" s="42">
        <v>149.4</v>
      </c>
      <c r="X335" s="23">
        <f>[1]ישיר!D324/1000</f>
        <v>22012.210999999999</v>
      </c>
      <c r="Y335" s="23">
        <v>11465.112999999999</v>
      </c>
      <c r="Z335" s="23">
        <f>[1]עקיף!H324</f>
        <v>2026</v>
      </c>
      <c r="AA335" s="23">
        <f>[1]עקיף!P324</f>
        <v>1831</v>
      </c>
      <c r="AB335" s="23">
        <f>[1]עקיף!Q324</f>
        <v>16346</v>
      </c>
      <c r="AC335" s="60">
        <f>[2]monthly!AY432</f>
        <v>3.07956263812958E-2</v>
      </c>
      <c r="AD335" s="60">
        <f>[2]monthly!AZ432</f>
        <v>0.81189942155589667</v>
      </c>
      <c r="AE335" s="60">
        <f>[2]monthly!BA432</f>
        <v>0.78689647031047105</v>
      </c>
      <c r="AF335" s="83">
        <v>10773.101826757646</v>
      </c>
      <c r="AG335" s="80">
        <v>3927.0844892233199</v>
      </c>
      <c r="AH335" s="64">
        <v>197468.91450000001</v>
      </c>
      <c r="AI335" s="4">
        <v>553.6</v>
      </c>
      <c r="AJ335" s="69">
        <v>432.7</v>
      </c>
      <c r="AK335" s="68">
        <v>99.1</v>
      </c>
      <c r="AL335" s="74">
        <v>98.565229793341757</v>
      </c>
      <c r="AM335" s="73">
        <v>34356</v>
      </c>
      <c r="AT335" s="68"/>
      <c r="AU335" s="68"/>
      <c r="AV335" s="68"/>
      <c r="AW335" s="68"/>
    </row>
    <row r="336" spans="1:49" ht="16.5" thickBot="1">
      <c r="A336" s="28">
        <v>44774</v>
      </c>
      <c r="B336" s="29">
        <f t="shared" si="15"/>
        <v>8</v>
      </c>
      <c r="C336" s="29">
        <f t="shared" si="16"/>
        <v>3</v>
      </c>
      <c r="D336" s="29">
        <f t="shared" si="17"/>
        <v>2022</v>
      </c>
      <c r="E336" s="21">
        <v>100.8498583569</v>
      </c>
      <c r="F336" s="52">
        <v>20426</v>
      </c>
      <c r="G336" s="52">
        <v>12890</v>
      </c>
      <c r="H336" s="54">
        <v>9296</v>
      </c>
      <c r="I336" s="55">
        <v>1898</v>
      </c>
      <c r="J336" s="13">
        <v>130.4</v>
      </c>
      <c r="K336" s="42">
        <v>437.1</v>
      </c>
      <c r="L336" s="23">
        <v>93.360476190476192</v>
      </c>
      <c r="M336" s="30">
        <v>101.9</v>
      </c>
      <c r="N336" s="30">
        <v>3.298826086956522</v>
      </c>
      <c r="O336" s="12">
        <v>2018.4077272727272</v>
      </c>
      <c r="P336" s="12">
        <v>2070.798181818182</v>
      </c>
      <c r="Q336" s="12">
        <v>12570.260402608694</v>
      </c>
      <c r="R336" s="12">
        <v>4158.5630434782615</v>
      </c>
      <c r="S336" s="34">
        <v>0.17</v>
      </c>
      <c r="T336" s="42">
        <v>159.4</v>
      </c>
      <c r="U336" s="42">
        <v>159.9</v>
      </c>
      <c r="V336" s="42">
        <v>104.7</v>
      </c>
      <c r="W336" s="42">
        <v>153</v>
      </c>
      <c r="X336" s="23">
        <f>[1]ישיר!D325/1000</f>
        <v>21048.614000000001</v>
      </c>
      <c r="Y336" s="23">
        <v>10171.369000000001</v>
      </c>
      <c r="Z336" s="23">
        <f>[1]עקיף!H325</f>
        <v>1898</v>
      </c>
      <c r="AA336" s="23">
        <f>[1]עקיף!P325</f>
        <v>1636</v>
      </c>
      <c r="AB336" s="23">
        <f>[1]עקיף!Q325</f>
        <v>12830</v>
      </c>
      <c r="AC336" s="60">
        <f>[2]monthly!AY433</f>
        <v>3.3100594776312386E-2</v>
      </c>
      <c r="AD336" s="60">
        <f>[2]monthly!AZ433</f>
        <v>0.81706773095433738</v>
      </c>
      <c r="AE336" s="60">
        <f>[2]monthly!BA433</f>
        <v>0.78999882615330441</v>
      </c>
      <c r="AF336" s="83">
        <v>10872.709223195747</v>
      </c>
      <c r="AG336" s="80">
        <v>3940.6076476111598</v>
      </c>
      <c r="AH336" s="64">
        <v>192151.40539999999</v>
      </c>
      <c r="AI336" s="4">
        <v>559.70000000000005</v>
      </c>
      <c r="AJ336" s="69">
        <v>436.5</v>
      </c>
      <c r="AK336" s="68">
        <v>100.9</v>
      </c>
      <c r="AL336" s="74">
        <v>98.860320916030176</v>
      </c>
      <c r="AM336" s="73">
        <v>32352</v>
      </c>
      <c r="AT336" s="68"/>
      <c r="AU336" s="68"/>
      <c r="AV336" s="68"/>
      <c r="AW336" s="68"/>
    </row>
    <row r="337" spans="1:49" ht="16.5" thickBot="1">
      <c r="A337" s="28">
        <v>44805</v>
      </c>
      <c r="B337" s="29">
        <f t="shared" si="15"/>
        <v>9</v>
      </c>
      <c r="C337" s="29">
        <f t="shared" si="16"/>
        <v>3</v>
      </c>
      <c r="D337" s="29">
        <f t="shared" si="17"/>
        <v>2022</v>
      </c>
      <c r="E337" s="21">
        <v>101.0387157696</v>
      </c>
      <c r="F337" s="52">
        <v>19772</v>
      </c>
      <c r="G337" s="52">
        <v>14871</v>
      </c>
      <c r="H337" s="54">
        <v>11498</v>
      </c>
      <c r="I337" s="55">
        <v>1666</v>
      </c>
      <c r="J337" s="13">
        <v>129.4</v>
      </c>
      <c r="K337" s="42">
        <v>445.5</v>
      </c>
      <c r="L337" s="23">
        <v>84.258095238095251</v>
      </c>
      <c r="M337" s="30">
        <v>106.85</v>
      </c>
      <c r="N337" s="30">
        <v>3.4422000000000006</v>
      </c>
      <c r="O337" s="12">
        <v>1958.9022222222225</v>
      </c>
      <c r="P337" s="12">
        <v>2010.3005555555558</v>
      </c>
      <c r="Q337" s="12">
        <v>11402.84998152381</v>
      </c>
      <c r="R337" s="12">
        <v>3850.5204761904752</v>
      </c>
      <c r="S337" s="34">
        <v>0.17</v>
      </c>
      <c r="T337" s="42">
        <v>163.5</v>
      </c>
      <c r="U337" s="42">
        <v>164.1</v>
      </c>
      <c r="V337" s="42">
        <v>107.3</v>
      </c>
      <c r="W337" s="42">
        <v>153.4</v>
      </c>
      <c r="X337" s="23">
        <f>[1]ישיר!D326/1000</f>
        <v>20061.571</v>
      </c>
      <c r="Y337" s="23">
        <v>10757.127</v>
      </c>
      <c r="Z337" s="23">
        <f>[1]עקיף!H326</f>
        <v>1666</v>
      </c>
      <c r="AA337" s="23">
        <f>[1]עקיף!P326</f>
        <v>1697</v>
      </c>
      <c r="AB337" s="23">
        <f>[1]עקיף!Q326</f>
        <v>14861</v>
      </c>
      <c r="AC337" s="60">
        <f>[2]monthly!AY434</f>
        <v>3.1300438090846205E-2</v>
      </c>
      <c r="AD337" s="60">
        <f>[2]monthly!AZ434</f>
        <v>0.81293345829428298</v>
      </c>
      <c r="AE337" s="60">
        <f>[2]monthly!BA434</f>
        <v>0.78746485473289596</v>
      </c>
      <c r="AF337" s="83">
        <v>10915.395105346424</v>
      </c>
      <c r="AG337" s="80">
        <v>3959.8276890815901</v>
      </c>
      <c r="AH337" s="64">
        <v>185994.2727</v>
      </c>
      <c r="AI337" s="4">
        <v>565.29999999999995</v>
      </c>
      <c r="AJ337" s="69">
        <v>445.8</v>
      </c>
      <c r="AK337" s="68">
        <v>100.8</v>
      </c>
      <c r="AL337" s="74">
        <v>99.306828741264425</v>
      </c>
      <c r="AM337" s="73">
        <v>35268</v>
      </c>
      <c r="AT337" s="68"/>
      <c r="AU337" s="68"/>
      <c r="AV337" s="68"/>
      <c r="AW337" s="68"/>
    </row>
    <row r="338" spans="1:49" ht="16.5" thickBot="1">
      <c r="A338" s="28">
        <v>44835</v>
      </c>
      <c r="B338" s="29">
        <f t="shared" si="15"/>
        <v>10</v>
      </c>
      <c r="C338" s="29">
        <f t="shared" si="16"/>
        <v>4</v>
      </c>
      <c r="D338" s="29">
        <f t="shared" si="17"/>
        <v>2022</v>
      </c>
      <c r="E338" s="21">
        <v>101.6052880076</v>
      </c>
      <c r="F338" s="52">
        <v>19438</v>
      </c>
      <c r="G338" s="52">
        <v>12975</v>
      </c>
      <c r="H338" s="54">
        <v>9702</v>
      </c>
      <c r="I338" s="55">
        <v>1779</v>
      </c>
      <c r="J338" s="13">
        <v>129</v>
      </c>
      <c r="K338" s="42">
        <v>447.4</v>
      </c>
      <c r="L338" s="23">
        <v>87.554761904761904</v>
      </c>
      <c r="M338" s="30">
        <v>103.76</v>
      </c>
      <c r="N338" s="30">
        <v>3.5479411764705882</v>
      </c>
      <c r="O338" s="12">
        <v>1890.890625</v>
      </c>
      <c r="P338" s="12">
        <v>1919.911875</v>
      </c>
      <c r="Q338" s="12">
        <v>10801.494244761903</v>
      </c>
      <c r="R338" s="12">
        <v>3726.0509523809519</v>
      </c>
      <c r="S338" s="34">
        <v>0.17</v>
      </c>
      <c r="T338" s="42">
        <v>167.7</v>
      </c>
      <c r="U338" s="42">
        <v>170.4</v>
      </c>
      <c r="V338" s="42">
        <v>108.3</v>
      </c>
      <c r="W338" s="42">
        <v>159.1</v>
      </c>
      <c r="X338" s="23">
        <f>[1]ישיר!D327/1000</f>
        <v>19687.370999999999</v>
      </c>
      <c r="Y338" s="23">
        <v>10430.519</v>
      </c>
      <c r="Z338" s="23">
        <f>[1]עקיף!H327</f>
        <v>1779</v>
      </c>
      <c r="AA338" s="23">
        <f>[1]עקיף!P327</f>
        <v>1580</v>
      </c>
      <c r="AB338" s="23">
        <f>[1]עקיף!Q327</f>
        <v>13061</v>
      </c>
      <c r="AC338" s="60">
        <f>[2]monthly!AY435</f>
        <v>3.5825455383905927E-2</v>
      </c>
      <c r="AD338" s="60">
        <f>[2]monthly!AZ435</f>
        <v>0.81270495643211849</v>
      </c>
      <c r="AE338" s="60">
        <f>[2]monthly!BA435</f>
        <v>0.78358943127518044</v>
      </c>
      <c r="AF338" s="83">
        <v>10848.601197632415</v>
      </c>
      <c r="AG338" s="80">
        <v>3987.02709387813</v>
      </c>
      <c r="AH338" s="64">
        <v>188842.18400000001</v>
      </c>
      <c r="AI338" s="4">
        <v>567</v>
      </c>
      <c r="AJ338" s="69">
        <v>447.6</v>
      </c>
      <c r="AK338" s="68">
        <v>96.6</v>
      </c>
      <c r="AL338" s="74">
        <v>99.65327295508169</v>
      </c>
      <c r="AM338" s="73">
        <v>31656</v>
      </c>
      <c r="AT338" s="68"/>
      <c r="AU338" s="68"/>
      <c r="AV338" s="68"/>
      <c r="AW338" s="68"/>
    </row>
    <row r="339" spans="1:49" ht="16.5" thickBot="1">
      <c r="A339" s="28">
        <v>44866</v>
      </c>
      <c r="B339" s="29">
        <f t="shared" si="15"/>
        <v>11</v>
      </c>
      <c r="C339" s="29">
        <f t="shared" si="16"/>
        <v>4</v>
      </c>
      <c r="D339" s="29">
        <f t="shared" si="17"/>
        <v>2022</v>
      </c>
      <c r="E339" s="21">
        <v>101.6997167139</v>
      </c>
      <c r="F339" s="52">
        <v>19434</v>
      </c>
      <c r="G339" s="52">
        <v>13995</v>
      </c>
      <c r="H339" s="54">
        <v>10410</v>
      </c>
      <c r="I339" s="55">
        <v>2073</v>
      </c>
      <c r="J339" s="13">
        <v>131.5</v>
      </c>
      <c r="K339" s="42">
        <v>445</v>
      </c>
      <c r="L339" s="23">
        <v>84.370476190476182</v>
      </c>
      <c r="M339" s="30">
        <v>102.12</v>
      </c>
      <c r="N339" s="30">
        <v>3.4795714285714285</v>
      </c>
      <c r="O339" s="12">
        <v>1907.9471428571426</v>
      </c>
      <c r="P339" s="12">
        <v>1928.6657142857143</v>
      </c>
      <c r="Q339" s="12">
        <v>10973.637632095239</v>
      </c>
      <c r="R339" s="12">
        <v>3917.4885830543153</v>
      </c>
      <c r="S339" s="34">
        <v>0.17</v>
      </c>
      <c r="T339" s="42">
        <v>163.9</v>
      </c>
      <c r="U339" s="42">
        <v>164.7</v>
      </c>
      <c r="V339" s="42">
        <v>107.9</v>
      </c>
      <c r="W339" s="42">
        <v>155.1</v>
      </c>
      <c r="X339" s="23">
        <f>[1]ישיר!D328/1000</f>
        <v>20199.633999999998</v>
      </c>
      <c r="Y339" s="23">
        <v>10549.701999999999</v>
      </c>
      <c r="Z339" s="23">
        <f>[1]עקיף!H328</f>
        <v>2073</v>
      </c>
      <c r="AA339" s="23">
        <f>[1]עקיף!P328</f>
        <v>1518</v>
      </c>
      <c r="AB339" s="23">
        <f>[1]עקיף!Q328</f>
        <v>14001</v>
      </c>
      <c r="AC339" s="60">
        <f>[2]monthly!AY436</f>
        <v>3.6186001203334955E-2</v>
      </c>
      <c r="AD339" s="60">
        <f>[2]monthly!AZ436</f>
        <v>0.81621533136897251</v>
      </c>
      <c r="AE339" s="60">
        <f>[2]monthly!BA436</f>
        <v>0.78667976240587445</v>
      </c>
      <c r="AF339" s="83">
        <v>10822.42472317612</v>
      </c>
      <c r="AG339" s="80">
        <v>4016.7084067104001</v>
      </c>
      <c r="AH339" s="64">
        <v>194417.67550000001</v>
      </c>
      <c r="AI339" s="4">
        <v>567.6</v>
      </c>
      <c r="AJ339" s="69">
        <v>445.3</v>
      </c>
      <c r="AK339" s="68">
        <v>101.1</v>
      </c>
      <c r="AL339" s="74">
        <v>99.824868911494761</v>
      </c>
      <c r="AM339" s="73">
        <v>32676</v>
      </c>
      <c r="AT339" s="68"/>
      <c r="AU339" s="68"/>
      <c r="AV339" s="68"/>
      <c r="AW339" s="68"/>
    </row>
    <row r="340" spans="1:49" ht="16.5" thickBot="1">
      <c r="A340" s="28">
        <v>44896</v>
      </c>
      <c r="B340" s="29">
        <f t="shared" si="15"/>
        <v>12</v>
      </c>
      <c r="C340" s="29">
        <f t="shared" si="16"/>
        <v>4</v>
      </c>
      <c r="D340" s="29">
        <f t="shared" si="17"/>
        <v>2022</v>
      </c>
      <c r="E340" s="21">
        <v>101.9830028329</v>
      </c>
      <c r="F340" s="52">
        <v>19078</v>
      </c>
      <c r="G340" s="52">
        <v>15664</v>
      </c>
      <c r="H340" s="54">
        <v>9924</v>
      </c>
      <c r="I340" s="55">
        <v>3463</v>
      </c>
      <c r="J340" s="13">
        <v>127</v>
      </c>
      <c r="K340" s="42">
        <v>438.2</v>
      </c>
      <c r="L340" s="23">
        <v>76.437142857142888</v>
      </c>
      <c r="M340" s="30">
        <v>102.01</v>
      </c>
      <c r="N340" s="30">
        <v>3.451571428571429</v>
      </c>
      <c r="O340" s="12">
        <v>1819.0933333333332</v>
      </c>
      <c r="P340" s="12">
        <v>1842.074761904762</v>
      </c>
      <c r="Q340" s="12">
        <v>10838.995814666667</v>
      </c>
      <c r="R340" s="12">
        <v>3912.3809523809523</v>
      </c>
      <c r="S340" s="34">
        <v>0.17</v>
      </c>
      <c r="T340" s="42">
        <v>164.6</v>
      </c>
      <c r="U340" s="42">
        <v>164</v>
      </c>
      <c r="V340" s="42">
        <v>105.1</v>
      </c>
      <c r="W340" s="42">
        <v>159.80000000000001</v>
      </c>
      <c r="X340" s="23">
        <f>[1]ישיר!D329/1000</f>
        <v>18586.751</v>
      </c>
      <c r="Y340" s="23">
        <v>10820.922</v>
      </c>
      <c r="Z340" s="23">
        <f>[1]עקיף!H329</f>
        <v>3463</v>
      </c>
      <c r="AA340" s="23">
        <f>[1]עקיף!P329</f>
        <v>1718</v>
      </c>
      <c r="AB340" s="23">
        <f>[1]עקיף!Q329</f>
        <v>15105</v>
      </c>
      <c r="AC340" s="60">
        <f>[2]monthly!AY437</f>
        <v>3.6851255450736746E-2</v>
      </c>
      <c r="AD340" s="60">
        <f>[2]monthly!AZ437</f>
        <v>0.81580599409425936</v>
      </c>
      <c r="AE340" s="60">
        <f>[2]monthly!BA437</f>
        <v>0.78574251900764969</v>
      </c>
      <c r="AF340" s="83">
        <v>10667.578337643517</v>
      </c>
      <c r="AG340" s="80">
        <v>4021.5581824625797</v>
      </c>
      <c r="AH340" s="64">
        <v>194217.92120000001</v>
      </c>
      <c r="AI340" s="4">
        <v>568.70000000000005</v>
      </c>
      <c r="AJ340" s="69">
        <v>438.4</v>
      </c>
      <c r="AK340" s="68">
        <v>101.6</v>
      </c>
      <c r="AL340" s="74">
        <v>99.847815178945055</v>
      </c>
      <c r="AM340" s="73">
        <v>29292</v>
      </c>
      <c r="AT340" s="68"/>
      <c r="AU340" s="68"/>
      <c r="AV340" s="68"/>
      <c r="AW340" s="68"/>
    </row>
    <row r="341" spans="1:49" ht="16.5" thickBot="1">
      <c r="A341" s="28">
        <v>44927</v>
      </c>
      <c r="B341" s="29">
        <f t="shared" si="15"/>
        <v>1</v>
      </c>
      <c r="C341" s="29">
        <f t="shared" si="16"/>
        <v>1</v>
      </c>
      <c r="D341" s="29">
        <f t="shared" si="17"/>
        <v>2023</v>
      </c>
      <c r="E341" s="21">
        <v>102.3</v>
      </c>
      <c r="F341" s="52">
        <v>26654</v>
      </c>
      <c r="G341" s="52">
        <v>16559</v>
      </c>
      <c r="H341" s="56">
        <v>12848</v>
      </c>
      <c r="I341" s="36">
        <v>1799</v>
      </c>
      <c r="J341" s="13">
        <v>127.4</v>
      </c>
      <c r="K341" s="42">
        <v>444.6</v>
      </c>
      <c r="L341" s="23">
        <v>77.417000000000016</v>
      </c>
      <c r="M341" s="30">
        <v>100.94</v>
      </c>
      <c r="N341" s="30">
        <v>3.4452857142857143</v>
      </c>
      <c r="O341" s="12">
        <v>1811.4321739130435</v>
      </c>
      <c r="P341" s="12">
        <v>1837.1430434782606</v>
      </c>
      <c r="Q341" s="12">
        <v>11013.990966849999</v>
      </c>
      <c r="R341" s="12">
        <v>3960.6565117187502</v>
      </c>
      <c r="S341" s="34">
        <v>0.17</v>
      </c>
      <c r="T341" s="42">
        <v>163.9</v>
      </c>
      <c r="U341" s="42">
        <v>165.9</v>
      </c>
      <c r="V341" s="42">
        <v>107.5</v>
      </c>
      <c r="W341" s="42">
        <v>161.80000000000001</v>
      </c>
      <c r="X341" s="23">
        <f>[1]ישיר!D330/1000</f>
        <v>28744.199000000001</v>
      </c>
      <c r="Y341" s="23">
        <v>13928.504999999999</v>
      </c>
      <c r="Z341" s="23">
        <f>[1]עקיף!H330</f>
        <v>1799</v>
      </c>
      <c r="AA341" s="23">
        <f>[1]עקיף!P330</f>
        <v>1949</v>
      </c>
      <c r="AB341" s="23">
        <f>[1]עקיף!Q330</f>
        <v>16596</v>
      </c>
      <c r="AC341" s="60">
        <f>[2]monthly!AY438</f>
        <v>3.4291721120518211E-2</v>
      </c>
      <c r="AD341" s="60">
        <f>[2]monthly!AZ438</f>
        <v>0.81705703475011038</v>
      </c>
      <c r="AE341" s="60">
        <f>[2]monthly!BA438</f>
        <v>0.78903874277490194</v>
      </c>
      <c r="AF341" s="83">
        <v>10938.461595743805</v>
      </c>
      <c r="AG341" s="80">
        <v>4039.17651560175</v>
      </c>
      <c r="AH341" s="64">
        <v>200984.93950000001</v>
      </c>
      <c r="AI341" s="4">
        <v>568.70000000000005</v>
      </c>
      <c r="AJ341" s="69">
        <v>444.6</v>
      </c>
      <c r="AK341" s="68">
        <v>98.6</v>
      </c>
      <c r="AL341" s="74">
        <v>99.976227678652691</v>
      </c>
      <c r="AM341" s="73">
        <v>25824</v>
      </c>
      <c r="AT341" s="68"/>
      <c r="AU341" s="68"/>
      <c r="AV341" s="68"/>
      <c r="AW341" s="68"/>
    </row>
    <row r="342" spans="1:49" ht="16.5" thickBot="1">
      <c r="A342" s="28">
        <v>44958</v>
      </c>
      <c r="B342" s="29">
        <f t="shared" si="15"/>
        <v>2</v>
      </c>
      <c r="C342" s="29">
        <f t="shared" si="16"/>
        <v>1</v>
      </c>
      <c r="D342" s="29">
        <f t="shared" si="17"/>
        <v>2023</v>
      </c>
      <c r="E342" s="21">
        <v>102.8</v>
      </c>
      <c r="F342" s="52">
        <v>21134</v>
      </c>
      <c r="G342" s="52">
        <v>13084</v>
      </c>
      <c r="H342" s="56">
        <v>9080</v>
      </c>
      <c r="I342" s="36">
        <v>2403</v>
      </c>
      <c r="J342" s="13">
        <v>125.7</v>
      </c>
      <c r="K342" s="42">
        <v>449</v>
      </c>
      <c r="L342" s="23">
        <v>76.832631578947371</v>
      </c>
      <c r="M342" s="30">
        <v>99.45</v>
      </c>
      <c r="N342" s="30">
        <v>3.5431499999999998</v>
      </c>
      <c r="O342" s="12">
        <v>1782.8869999999999</v>
      </c>
      <c r="P342" s="12">
        <v>1805.7644999999998</v>
      </c>
      <c r="Q342" s="12">
        <v>11785.074321631579</v>
      </c>
      <c r="R342" s="12">
        <v>4079.6847368421049</v>
      </c>
      <c r="S342" s="34">
        <v>0.17</v>
      </c>
      <c r="T342" s="42">
        <v>168.3</v>
      </c>
      <c r="U342" s="42">
        <v>166.4</v>
      </c>
      <c r="V342" s="42">
        <v>109.2</v>
      </c>
      <c r="W342" s="42">
        <v>159.80000000000001</v>
      </c>
      <c r="X342" s="23">
        <f>[1]ישיר!D331/1000</f>
        <v>20564.892</v>
      </c>
      <c r="Y342" s="23">
        <v>10758.119000000001</v>
      </c>
      <c r="Z342" s="23">
        <f>[1]עקיף!H331</f>
        <v>2403</v>
      </c>
      <c r="AA342" s="23">
        <f>[1]עקיף!P331</f>
        <v>1683</v>
      </c>
      <c r="AB342" s="23">
        <f>[1]עקיף!Q331</f>
        <v>13166</v>
      </c>
      <c r="AC342" s="60">
        <f>[2]monthly!AY439</f>
        <v>3.4841628959276019E-2</v>
      </c>
      <c r="AD342" s="60">
        <f>[2]monthly!AZ439</f>
        <v>0.82110347389931271</v>
      </c>
      <c r="AE342" s="60">
        <f>[2]monthly!BA439</f>
        <v>0.79249489132454032</v>
      </c>
      <c r="AF342" s="83">
        <v>10710.201343366974</v>
      </c>
      <c r="AG342" s="80">
        <v>4032.7524035025499</v>
      </c>
      <c r="AH342" s="64">
        <v>196279.32670000001</v>
      </c>
      <c r="AI342" s="4">
        <v>568.70000000000005</v>
      </c>
      <c r="AJ342" s="69">
        <v>449.2</v>
      </c>
      <c r="AK342" s="68">
        <v>105.4</v>
      </c>
      <c r="AL342" s="74">
        <v>100.15840108410782</v>
      </c>
      <c r="AM342" s="73">
        <v>31560</v>
      </c>
      <c r="AT342" s="68"/>
      <c r="AU342" s="68"/>
      <c r="AV342" s="68"/>
      <c r="AW342" s="68"/>
    </row>
    <row r="343" spans="1:49" ht="16.5" thickBot="1">
      <c r="A343" s="28">
        <v>44986</v>
      </c>
      <c r="B343" s="29">
        <f t="shared" si="15"/>
        <v>3</v>
      </c>
      <c r="C343" s="29">
        <f t="shared" si="16"/>
        <v>1</v>
      </c>
      <c r="D343" s="29">
        <f t="shared" si="17"/>
        <v>2023</v>
      </c>
      <c r="E343" s="21">
        <v>103.2</v>
      </c>
      <c r="F343" s="52">
        <v>19983</v>
      </c>
      <c r="G343" s="52">
        <v>14264</v>
      </c>
      <c r="H343" s="56">
        <v>9791</v>
      </c>
      <c r="I343" s="36">
        <v>2470</v>
      </c>
      <c r="J343" s="13">
        <v>128</v>
      </c>
      <c r="K343" s="42">
        <v>441.4</v>
      </c>
      <c r="L343" s="23">
        <v>73.277826086956523</v>
      </c>
      <c r="M343" s="30">
        <v>97.1</v>
      </c>
      <c r="N343" s="30">
        <v>3.6199523809523813</v>
      </c>
      <c r="O343" s="12">
        <v>1750.3161904761901</v>
      </c>
      <c r="P343" s="12">
        <v>1740.4604761904761</v>
      </c>
      <c r="Q343" s="12">
        <v>11624.641462095236</v>
      </c>
      <c r="R343" s="12">
        <v>3967.7342857142858</v>
      </c>
      <c r="S343" s="34">
        <v>0.17</v>
      </c>
      <c r="T343" s="42">
        <v>167.1</v>
      </c>
      <c r="U343" s="42">
        <v>163.1</v>
      </c>
      <c r="V343" s="42">
        <v>106.9</v>
      </c>
      <c r="W343" s="42">
        <v>157.5</v>
      </c>
      <c r="X343" s="23">
        <f>[1]ישיר!D332/1000</f>
        <v>20501.240000000002</v>
      </c>
      <c r="Y343" s="23">
        <v>11476.414000000001</v>
      </c>
      <c r="Z343" s="23">
        <f>[1]עקיף!H332</f>
        <v>2470</v>
      </c>
      <c r="AA343" s="23">
        <f>[1]עקיף!P332</f>
        <v>1995</v>
      </c>
      <c r="AB343" s="23">
        <f>[1]עקיף!Q332</f>
        <v>14256</v>
      </c>
      <c r="AC343" s="60">
        <f>[2]monthly!AY440</f>
        <v>3.0784901816535568E-2</v>
      </c>
      <c r="AD343" s="60">
        <f>[2]monthly!AZ440</f>
        <v>0.81772327626099028</v>
      </c>
      <c r="AE343" s="60">
        <f>[2]monthly!BA440</f>
        <v>0.7925497454881999</v>
      </c>
      <c r="AF343" s="83">
        <v>11166.792768999831</v>
      </c>
      <c r="AG343" s="80">
        <v>4026.5807515486003</v>
      </c>
      <c r="AH343" s="64">
        <v>200485.77840000001</v>
      </c>
      <c r="AI343" s="4">
        <v>567.6</v>
      </c>
      <c r="AJ343" s="69">
        <v>440.5</v>
      </c>
      <c r="AK343" s="68">
        <v>103.1</v>
      </c>
      <c r="AL343" s="74">
        <v>100.29085230637331</v>
      </c>
      <c r="AM343" s="73">
        <v>27576</v>
      </c>
      <c r="AT343" s="68"/>
      <c r="AU343" s="68"/>
      <c r="AV343" s="68"/>
      <c r="AW343" s="68"/>
    </row>
    <row r="344" spans="1:49" ht="16.5" thickBot="1">
      <c r="A344" s="28">
        <v>45017</v>
      </c>
      <c r="B344" s="29">
        <f t="shared" si="15"/>
        <v>4</v>
      </c>
      <c r="C344" s="29">
        <f t="shared" si="16"/>
        <v>2</v>
      </c>
      <c r="D344" s="29">
        <f t="shared" si="17"/>
        <v>2023</v>
      </c>
      <c r="E344" s="21">
        <v>104</v>
      </c>
      <c r="F344" s="52">
        <v>20728</v>
      </c>
      <c r="G344" s="52">
        <v>14288</v>
      </c>
      <c r="H344" s="56">
        <v>10757</v>
      </c>
      <c r="I344" s="36">
        <v>1742</v>
      </c>
      <c r="J344" s="13">
        <v>126.6</v>
      </c>
      <c r="K344" s="42">
        <v>443.8</v>
      </c>
      <c r="L344" s="23">
        <v>79.446315789473672</v>
      </c>
      <c r="M344" s="30">
        <v>95.44</v>
      </c>
      <c r="N344" s="30">
        <v>3.6383571428571426</v>
      </c>
      <c r="O344" s="12">
        <v>1739.6146666666671</v>
      </c>
      <c r="P344" s="12">
        <v>1729.6546666666668</v>
      </c>
      <c r="Q344" s="12">
        <v>12073.464740947369</v>
      </c>
      <c r="R344" s="12">
        <v>4121.4673684210529</v>
      </c>
      <c r="S344" s="34">
        <v>0.17</v>
      </c>
      <c r="T344" s="42">
        <v>165.6</v>
      </c>
      <c r="U344" s="42">
        <v>162.9</v>
      </c>
      <c r="V344" s="42">
        <v>107.4</v>
      </c>
      <c r="W344" s="42">
        <v>161</v>
      </c>
      <c r="X344" s="23">
        <f>[1]ישיר!D333/1000</f>
        <v>20705.326000000001</v>
      </c>
      <c r="Y344" s="23">
        <v>13006.550999999999</v>
      </c>
      <c r="Z344" s="23">
        <f>[1]עקיף!H333</f>
        <v>1742</v>
      </c>
      <c r="AA344" s="23">
        <f>[1]עקיף!P333</f>
        <v>1731</v>
      </c>
      <c r="AB344" s="23">
        <f>[1]עקיף!Q333</f>
        <v>14230</v>
      </c>
      <c r="AC344" s="60">
        <f>[2]monthly!AY441</f>
        <v>2.9931430847583009E-2</v>
      </c>
      <c r="AD344" s="60">
        <f>[2]monthly!AZ441</f>
        <v>0.81199029686958524</v>
      </c>
      <c r="AE344" s="60">
        <f>[2]monthly!BA441</f>
        <v>0.78768626544992493</v>
      </c>
      <c r="AF344" s="83">
        <v>11036.219150095054</v>
      </c>
      <c r="AG344" s="80">
        <v>4002.7097436918398</v>
      </c>
      <c r="AH344" s="64">
        <v>201895.4179</v>
      </c>
      <c r="AI344" s="4">
        <v>564.79999999999995</v>
      </c>
      <c r="AJ344" s="69">
        <v>443.8</v>
      </c>
      <c r="AK344" s="68">
        <v>102.5</v>
      </c>
      <c r="AL344" s="74">
        <v>100.52223864794686</v>
      </c>
      <c r="AM344" s="73">
        <v>27732</v>
      </c>
      <c r="AT344" s="68"/>
      <c r="AU344" s="68"/>
      <c r="AV344" s="68"/>
      <c r="AW344" s="68"/>
    </row>
    <row r="345" spans="1:49" ht="16.5" thickBot="1">
      <c r="A345" s="28">
        <v>45047</v>
      </c>
      <c r="B345" s="29">
        <f t="shared" si="15"/>
        <v>5</v>
      </c>
      <c r="C345" s="29">
        <f t="shared" si="16"/>
        <v>2</v>
      </c>
      <c r="D345" s="29">
        <f t="shared" si="17"/>
        <v>2023</v>
      </c>
      <c r="E345" s="21">
        <v>104.2</v>
      </c>
      <c r="F345" s="52">
        <v>19942</v>
      </c>
      <c r="G345" s="52">
        <v>14147</v>
      </c>
      <c r="H345" s="56">
        <v>9935</v>
      </c>
      <c r="I345" s="36">
        <v>2482</v>
      </c>
      <c r="J345" s="13">
        <v>121.5</v>
      </c>
      <c r="K345" s="42">
        <v>449</v>
      </c>
      <c r="L345" s="23">
        <v>71.578181818181804</v>
      </c>
      <c r="M345" s="30">
        <v>94.53</v>
      </c>
      <c r="N345" s="30">
        <v>3.6600952380952387</v>
      </c>
      <c r="O345" s="12">
        <v>1788.4286363636363</v>
      </c>
      <c r="P345" s="12">
        <v>1788.740454545454</v>
      </c>
      <c r="Q345" s="12">
        <v>12446.530447454543</v>
      </c>
      <c r="R345" s="12">
        <v>4146.2463636363645</v>
      </c>
      <c r="S345" s="34">
        <v>0.17</v>
      </c>
      <c r="T345" s="42">
        <v>166.5</v>
      </c>
      <c r="U345" s="42">
        <v>163.69999999999999</v>
      </c>
      <c r="V345" s="42">
        <v>107.3</v>
      </c>
      <c r="W345" s="42">
        <v>158.69999999999999</v>
      </c>
      <c r="X345" s="23">
        <f>[1]ישיר!D334/1000</f>
        <v>20253.262999999999</v>
      </c>
      <c r="Y345" s="23">
        <v>12176.681</v>
      </c>
      <c r="Z345" s="23">
        <f>[1]עקיף!H334</f>
        <v>2482</v>
      </c>
      <c r="AA345" s="23">
        <f>[1]עקיף!P334</f>
        <v>1790</v>
      </c>
      <c r="AB345" s="23">
        <f>[1]עקיף!Q334</f>
        <v>14207</v>
      </c>
      <c r="AC345" s="60">
        <f>[2]monthly!AY442</f>
        <v>3.1355550551677547E-2</v>
      </c>
      <c r="AD345" s="60">
        <f>[2]monthly!AZ442</f>
        <v>0.81807087430058267</v>
      </c>
      <c r="AE345" s="60">
        <f>[2]monthly!BA442</f>
        <v>0.7924198116465957</v>
      </c>
      <c r="AF345" s="83">
        <v>10973.433792119693</v>
      </c>
      <c r="AG345" s="80">
        <v>4024.8718714892907</v>
      </c>
      <c r="AH345" s="64">
        <v>199621.09239999999</v>
      </c>
      <c r="AI345" s="4">
        <v>561.4</v>
      </c>
      <c r="AJ345" s="69">
        <v>449</v>
      </c>
      <c r="AK345" s="68">
        <v>100.8</v>
      </c>
      <c r="AL345" s="74">
        <v>100.91290778085467</v>
      </c>
      <c r="AM345" s="73">
        <v>28608</v>
      </c>
      <c r="AT345" s="68"/>
      <c r="AU345" s="68"/>
      <c r="AV345" s="68"/>
      <c r="AW345" s="68"/>
    </row>
    <row r="346" spans="1:49" ht="16.5" thickBot="1">
      <c r="A346" s="28">
        <v>45078</v>
      </c>
      <c r="B346" s="29">
        <f t="shared" si="15"/>
        <v>6</v>
      </c>
      <c r="C346" s="29">
        <f t="shared" si="16"/>
        <v>2</v>
      </c>
      <c r="D346" s="29">
        <f t="shared" si="17"/>
        <v>2023</v>
      </c>
      <c r="E346" s="21">
        <v>104.2</v>
      </c>
      <c r="F346" s="52">
        <v>18660</v>
      </c>
      <c r="G346" s="52">
        <v>12389</v>
      </c>
      <c r="H346" s="56">
        <v>8420</v>
      </c>
      <c r="I346" s="36">
        <v>1956</v>
      </c>
      <c r="J346" s="13">
        <v>125.1</v>
      </c>
      <c r="K346" s="42">
        <v>448.5</v>
      </c>
      <c r="L346" s="23">
        <v>72.435714285714283</v>
      </c>
      <c r="M346" s="30">
        <v>94.39</v>
      </c>
      <c r="N346" s="30">
        <v>3.6446363636363639</v>
      </c>
      <c r="O346" s="12">
        <v>1780.2661904761906</v>
      </c>
      <c r="P346" s="12">
        <v>1796.3333333333333</v>
      </c>
      <c r="Q346" s="12">
        <v>13463.778095238096</v>
      </c>
      <c r="R346" s="12">
        <v>4345.3728311428586</v>
      </c>
      <c r="S346" s="34">
        <v>0.17</v>
      </c>
      <c r="T346" s="42">
        <v>163.69999999999999</v>
      </c>
      <c r="U346" s="42">
        <v>164.6</v>
      </c>
      <c r="V346" s="42">
        <v>109</v>
      </c>
      <c r="W346" s="42">
        <v>156</v>
      </c>
      <c r="X346" s="23">
        <f>[1]ישיר!D335/1000</f>
        <v>18254.996999999999</v>
      </c>
      <c r="Y346" s="23">
        <v>10801.605</v>
      </c>
      <c r="Z346" s="23">
        <f>[1]עקיף!H335</f>
        <v>1956</v>
      </c>
      <c r="AA346" s="23">
        <f>[1]עקיף!P335</f>
        <v>2055</v>
      </c>
      <c r="AB346" s="23">
        <f>[1]עקיף!Q335</f>
        <v>12431</v>
      </c>
      <c r="AC346" s="60">
        <f>[2]monthly!AY443</f>
        <v>3.2828923267675489E-2</v>
      </c>
      <c r="AD346" s="60">
        <f>[2]monthly!AZ443</f>
        <v>0.81568059577989227</v>
      </c>
      <c r="AE346" s="60">
        <f>[2]monthly!BA443</f>
        <v>0.78890268009010245</v>
      </c>
      <c r="AF346" s="83">
        <v>10956.855973637372</v>
      </c>
      <c r="AG346" s="80">
        <v>4023.5275674679897</v>
      </c>
      <c r="AH346" s="64">
        <v>201875.75039999999</v>
      </c>
      <c r="AI346" s="4">
        <v>560.29999999999995</v>
      </c>
      <c r="AJ346" s="69">
        <v>448.4</v>
      </c>
      <c r="AK346" s="68">
        <v>99</v>
      </c>
      <c r="AL346" s="74">
        <v>101.102546792597</v>
      </c>
      <c r="AM346" s="73">
        <v>29508</v>
      </c>
      <c r="AT346" s="68"/>
      <c r="AU346" s="68"/>
      <c r="AV346" s="68"/>
      <c r="AW346" s="68"/>
    </row>
    <row r="347" spans="1:49" ht="16.5" thickBot="1">
      <c r="A347" s="28">
        <v>45108</v>
      </c>
      <c r="B347" s="29">
        <f t="shared" si="15"/>
        <v>7</v>
      </c>
      <c r="C347" s="29">
        <f t="shared" si="16"/>
        <v>3</v>
      </c>
      <c r="D347" s="29">
        <f t="shared" si="17"/>
        <v>2023</v>
      </c>
      <c r="E347" s="21">
        <v>104.5</v>
      </c>
      <c r="F347" s="52">
        <v>20638</v>
      </c>
      <c r="G347" s="52">
        <v>16028</v>
      </c>
      <c r="H347" s="56">
        <v>11825</v>
      </c>
      <c r="I347" s="36">
        <v>2232</v>
      </c>
      <c r="J347" s="13">
        <v>126.3</v>
      </c>
      <c r="K347" s="42">
        <v>449.2</v>
      </c>
      <c r="L347" s="23">
        <v>76.069499999999977</v>
      </c>
      <c r="M347" s="30">
        <v>95.85</v>
      </c>
      <c r="N347" s="30">
        <v>3.66225925925926</v>
      </c>
      <c r="O347" s="12">
        <v>1814.7219047619046</v>
      </c>
      <c r="P347" s="12">
        <v>1838.8052380952383</v>
      </c>
      <c r="Q347" s="12">
        <v>14033.090999999997</v>
      </c>
      <c r="R347" s="12">
        <v>4508.0754882500005</v>
      </c>
      <c r="S347" s="34">
        <v>0.17</v>
      </c>
      <c r="T347" s="42">
        <v>165.1</v>
      </c>
      <c r="U347" s="42">
        <v>165.5</v>
      </c>
      <c r="V347" s="42">
        <v>108.6</v>
      </c>
      <c r="W347" s="42">
        <v>148.4</v>
      </c>
      <c r="X347" s="23">
        <f>[1]ישיר!D336/1000</f>
        <v>21319.716</v>
      </c>
      <c r="Y347" s="23">
        <v>13069.865</v>
      </c>
      <c r="Z347" s="23">
        <f>[1]עקיף!H336</f>
        <v>2232</v>
      </c>
      <c r="AA347" s="23">
        <f>[1]עקיף!P336</f>
        <v>1988</v>
      </c>
      <c r="AB347" s="23">
        <f>[1]עקיף!Q336</f>
        <v>16045</v>
      </c>
      <c r="AC347" s="60">
        <f>[2]monthly!AY444</f>
        <v>3.014637709662012E-2</v>
      </c>
      <c r="AD347" s="60">
        <f>[2]monthly!AZ444</f>
        <v>0.81577318878778848</v>
      </c>
      <c r="AE347" s="60">
        <f>[2]monthly!BA444</f>
        <v>0.7911805826132795</v>
      </c>
      <c r="AF347" s="83">
        <v>11012.765925260095</v>
      </c>
      <c r="AG347" s="80">
        <v>4000.5728392138203</v>
      </c>
      <c r="AH347" s="64">
        <v>204664.85639999999</v>
      </c>
      <c r="AI347" s="4">
        <v>559.20000000000005</v>
      </c>
      <c r="AJ347" s="69">
        <v>449.2</v>
      </c>
      <c r="AK347" s="68">
        <v>99.1</v>
      </c>
      <c r="AL347" s="74">
        <v>101.31211758554728</v>
      </c>
      <c r="AM347" s="73">
        <v>29424</v>
      </c>
      <c r="AT347" s="68"/>
      <c r="AU347" s="68"/>
      <c r="AV347" s="68"/>
      <c r="AW347" s="68"/>
    </row>
    <row r="348" spans="1:49" ht="16.5" thickBot="1">
      <c r="A348" s="28">
        <v>45139</v>
      </c>
      <c r="B348" s="29">
        <f t="shared" si="15"/>
        <v>8</v>
      </c>
      <c r="C348" s="29">
        <f t="shared" si="16"/>
        <v>3</v>
      </c>
      <c r="D348" s="29">
        <f t="shared" si="17"/>
        <v>2023</v>
      </c>
      <c r="E348" s="21">
        <f>[3]monthly!G444</f>
        <v>97.765363128499999</v>
      </c>
      <c r="F348" s="52">
        <v>18846</v>
      </c>
      <c r="G348" s="52">
        <v>13156</v>
      </c>
      <c r="H348" s="56">
        <v>9399</v>
      </c>
      <c r="I348" s="36">
        <v>1937</v>
      </c>
      <c r="J348" s="13">
        <v>125.7</v>
      </c>
      <c r="K348" s="42">
        <v>468.1</v>
      </c>
      <c r="L348" s="23">
        <v>81.432857142857145</v>
      </c>
      <c r="M348" s="30">
        <v>94.76</v>
      </c>
      <c r="N348" s="30">
        <v>3.7457586206896547</v>
      </c>
      <c r="O348" s="12">
        <v>1853.7956521739131</v>
      </c>
      <c r="P348" s="12">
        <v>1875.5473913043479</v>
      </c>
      <c r="Q348" s="12">
        <v>13743.213018043476</v>
      </c>
      <c r="R348" s="12">
        <v>4457.3586744782606</v>
      </c>
      <c r="S348" s="34">
        <v>0.17</v>
      </c>
      <c r="T348" s="42">
        <v>171.5</v>
      </c>
      <c r="U348" s="42">
        <v>169.4</v>
      </c>
      <c r="V348" s="42">
        <v>110.4</v>
      </c>
      <c r="W348" s="42">
        <v>165.7</v>
      </c>
      <c r="X348" s="23">
        <f>[1]ישיר!D337/1000</f>
        <v>18707.598000000002</v>
      </c>
      <c r="Y348" s="23">
        <v>11224.946</v>
      </c>
      <c r="Z348" s="23">
        <f>[1]עקיף!H337</f>
        <v>1937</v>
      </c>
      <c r="AA348" s="23">
        <f>[1]עקיף!P337</f>
        <v>1948</v>
      </c>
      <c r="AB348" s="23">
        <f>[1]עקיף!Q337</f>
        <v>13284</v>
      </c>
      <c r="AC348" s="60">
        <f>[2]monthly!AY445</f>
        <v>2.804950243847433E-2</v>
      </c>
      <c r="AD348" s="60">
        <f>[2]monthly!AZ445</f>
        <v>0.81477823460504861</v>
      </c>
      <c r="AE348" s="60">
        <f>[2]monthly!BA445</f>
        <v>0.79192411052667855</v>
      </c>
      <c r="AF348" s="83">
        <v>11053.34906993575</v>
      </c>
      <c r="AG348" s="80">
        <v>4025.6299282918294</v>
      </c>
      <c r="AH348" s="64">
        <v>202856.43239999999</v>
      </c>
      <c r="AI348" s="4">
        <v>558.6</v>
      </c>
      <c r="AJ348" s="69">
        <v>467.6</v>
      </c>
      <c r="AK348" s="68">
        <v>104.7</v>
      </c>
      <c r="AL348" s="74">
        <v>101.48885741100682</v>
      </c>
      <c r="AM348" s="73">
        <v>37284</v>
      </c>
      <c r="AT348" s="68"/>
      <c r="AU348" s="68"/>
      <c r="AV348" s="68"/>
      <c r="AW348" s="68"/>
    </row>
    <row r="349" spans="1:49" ht="16.5" thickBot="1">
      <c r="A349" s="28">
        <v>45170</v>
      </c>
      <c r="B349" s="29">
        <f t="shared" si="15"/>
        <v>9</v>
      </c>
      <c r="C349" s="29">
        <f t="shared" si="16"/>
        <v>3</v>
      </c>
      <c r="D349" s="29">
        <f t="shared" si="17"/>
        <v>2023</v>
      </c>
      <c r="E349" s="21">
        <f>[3]monthly!G445</f>
        <v>97.672253258799998</v>
      </c>
      <c r="F349" s="52">
        <v>19679</v>
      </c>
      <c r="G349" s="52">
        <v>13713</v>
      </c>
      <c r="H349" s="56">
        <v>10500</v>
      </c>
      <c r="I349" s="36">
        <v>1442</v>
      </c>
      <c r="J349" s="13">
        <v>127.9</v>
      </c>
      <c r="K349" s="42">
        <v>454.6</v>
      </c>
      <c r="L349" s="23">
        <v>89.425000000000026</v>
      </c>
      <c r="M349" s="30">
        <v>93.58</v>
      </c>
      <c r="N349" s="30">
        <v>3.8201578947368429</v>
      </c>
      <c r="O349" s="12">
        <v>1842.1235294117646</v>
      </c>
      <c r="P349" s="12">
        <v>1866.1317647058822</v>
      </c>
      <c r="Q349" s="12">
        <v>13585.839550799999</v>
      </c>
      <c r="R349" s="12">
        <v>4409.0949950500008</v>
      </c>
      <c r="S349" s="34">
        <v>0.17</v>
      </c>
      <c r="T349" s="42">
        <v>165.7</v>
      </c>
      <c r="U349" s="42">
        <v>159.30000000000001</v>
      </c>
      <c r="V349" s="42">
        <v>106</v>
      </c>
      <c r="W349" s="42">
        <v>152.5</v>
      </c>
      <c r="X349" s="23">
        <f>[1]ישיר!D338/1000</f>
        <v>19923.881000000001</v>
      </c>
      <c r="Y349" s="23">
        <v>12372.853999999999</v>
      </c>
      <c r="Z349" s="23">
        <f>[1]עקיף!H338</f>
        <v>1442</v>
      </c>
      <c r="AA349" s="23">
        <f>[1]עקיף!P338</f>
        <v>1710</v>
      </c>
      <c r="AB349" s="23">
        <f>[1]עקיף!Q338</f>
        <v>13652</v>
      </c>
      <c r="AC349" s="60">
        <f>[2]monthly!AY446</f>
        <v>2.9830106677202688E-2</v>
      </c>
      <c r="AD349" s="60">
        <f>[2]monthly!AZ446</f>
        <v>0.81283692335925495</v>
      </c>
      <c r="AE349" s="60">
        <f>[2]monthly!BA446</f>
        <v>0.78858991122427902</v>
      </c>
      <c r="AF349" s="83">
        <v>11108.338359768364</v>
      </c>
      <c r="AG349" s="80">
        <v>4023.5327148899105</v>
      </c>
      <c r="AH349" s="64">
        <v>198552.50219999999</v>
      </c>
      <c r="AI349" s="4">
        <v>557.5</v>
      </c>
      <c r="AJ349" s="69">
        <v>455</v>
      </c>
      <c r="AK349" s="68">
        <v>100.8</v>
      </c>
      <c r="AL349" s="74">
        <v>100.70489095041818</v>
      </c>
      <c r="AM349" s="73">
        <v>34152</v>
      </c>
      <c r="AT349" s="68"/>
      <c r="AU349" s="68"/>
      <c r="AV349" s="68"/>
      <c r="AW349" s="68"/>
    </row>
    <row r="350" spans="1:49" ht="16.5" thickBot="1">
      <c r="A350" s="28">
        <v>45200</v>
      </c>
      <c r="B350" s="29">
        <f t="shared" si="15"/>
        <v>10</v>
      </c>
      <c r="C350" s="29">
        <f t="shared" si="16"/>
        <v>4</v>
      </c>
      <c r="D350" s="29">
        <f t="shared" si="17"/>
        <v>2023</v>
      </c>
      <c r="E350" s="21">
        <f>[3]monthly!G446</f>
        <v>98.137802607099999</v>
      </c>
      <c r="F350" s="52">
        <v>16483</v>
      </c>
      <c r="G350" s="52">
        <v>12114</v>
      </c>
      <c r="H350" s="56">
        <v>8795</v>
      </c>
      <c r="I350" s="36">
        <v>1912</v>
      </c>
      <c r="J350" s="13">
        <v>122.5</v>
      </c>
      <c r="K350" s="42">
        <v>384.7</v>
      </c>
      <c r="L350" s="23">
        <v>85.639523809523794</v>
      </c>
      <c r="M350" s="30">
        <v>92.39</v>
      </c>
      <c r="N350" s="30">
        <v>3.978272727272727</v>
      </c>
      <c r="O350" s="12">
        <v>1709.7221739130432</v>
      </c>
      <c r="P350" s="12">
        <v>1726.4269565217392</v>
      </c>
      <c r="Q350" s="12">
        <v>13199.427690136365</v>
      </c>
      <c r="R350" s="12">
        <v>4269.400945409091</v>
      </c>
      <c r="S350" s="34">
        <v>0.17</v>
      </c>
      <c r="T350" s="42">
        <v>147</v>
      </c>
      <c r="U350" s="42">
        <v>138.69999999999999</v>
      </c>
      <c r="V350" s="42">
        <v>106.6</v>
      </c>
      <c r="W350" s="42">
        <v>121.4</v>
      </c>
      <c r="X350" s="23">
        <f>[1]ישיר!D339/1000</f>
        <v>16640.996999999999</v>
      </c>
      <c r="Y350" s="23">
        <v>11119.895</v>
      </c>
      <c r="Z350" s="23">
        <f>[1]עקיף!H339</f>
        <v>1912</v>
      </c>
      <c r="AA350" s="23">
        <f>[1]עקיף!P339</f>
        <v>1478</v>
      </c>
      <c r="AB350" s="23">
        <f>[1]עקיף!Q339</f>
        <v>12185</v>
      </c>
      <c r="AC350" s="60">
        <f>[2]monthly!AY447</f>
        <v>2.8377770277871528E-2</v>
      </c>
      <c r="AD350" s="60">
        <f>[2]monthly!AZ447</f>
        <v>0.81150290996234165</v>
      </c>
      <c r="AE350" s="60">
        <f>[2]monthly!BA447</f>
        <v>0.78845144356955377</v>
      </c>
      <c r="AF350" s="83">
        <v>11079.400122505895</v>
      </c>
      <c r="AG350" s="80">
        <v>3962.4786013152197</v>
      </c>
      <c r="AH350" s="64">
        <v>191235.3732</v>
      </c>
      <c r="AI350" s="4">
        <v>554.70000000000005</v>
      </c>
      <c r="AJ350" s="69">
        <v>384.9</v>
      </c>
      <c r="AK350" s="68">
        <v>94.7</v>
      </c>
      <c r="AL350" s="74">
        <v>97.980075127874755</v>
      </c>
      <c r="AM350" s="73">
        <v>12252</v>
      </c>
      <c r="AT350" s="68"/>
      <c r="AU350" s="68"/>
      <c r="AV350" s="68"/>
      <c r="AW350" s="68"/>
    </row>
    <row r="351" spans="1:49" ht="16.5" thickBot="1">
      <c r="A351" s="28">
        <v>45231</v>
      </c>
      <c r="B351" s="29">
        <f t="shared" si="15"/>
        <v>11</v>
      </c>
      <c r="C351" s="29">
        <f t="shared" si="16"/>
        <v>4</v>
      </c>
      <c r="D351" s="29">
        <f t="shared" si="17"/>
        <v>2023</v>
      </c>
      <c r="E351" s="21">
        <f>[3]monthly!G447</f>
        <v>97.858472998099998</v>
      </c>
      <c r="F351" s="52">
        <v>16547</v>
      </c>
      <c r="G351" s="52">
        <v>12708</v>
      </c>
      <c r="H351" s="56">
        <v>9887</v>
      </c>
      <c r="I351" s="36">
        <v>1254</v>
      </c>
      <c r="J351" s="13">
        <v>126.6</v>
      </c>
      <c r="K351" s="42">
        <v>411</v>
      </c>
      <c r="L351" s="23">
        <v>77.684999999999988</v>
      </c>
      <c r="M351" s="30">
        <v>89.6</v>
      </c>
      <c r="N351" s="30">
        <v>3.8057727272727275</v>
      </c>
      <c r="O351" s="12">
        <v>1733.0859090909087</v>
      </c>
      <c r="P351" s="12">
        <v>1751.1113636363634</v>
      </c>
      <c r="Q351" s="12">
        <v>13913.160574809523</v>
      </c>
      <c r="R351" s="12">
        <v>4460.0633138095236</v>
      </c>
      <c r="S351" s="34">
        <v>0.17</v>
      </c>
      <c r="T351" s="42">
        <v>153.4</v>
      </c>
      <c r="U351" s="42">
        <v>145.19999999999999</v>
      </c>
      <c r="V351" s="42">
        <v>105.3</v>
      </c>
      <c r="W351" s="42">
        <v>132.80000000000001</v>
      </c>
      <c r="X351" s="23">
        <f>[1]ישיר!D340/1000</f>
        <v>16939.794999999998</v>
      </c>
      <c r="Y351" s="23">
        <v>11130.57</v>
      </c>
      <c r="Z351" s="23">
        <f>[1]עקיף!H340</f>
        <v>1254</v>
      </c>
      <c r="AA351" s="23">
        <f>[1]עקיף!P340</f>
        <v>1460</v>
      </c>
      <c r="AB351" s="23">
        <f>[1]עקיף!Q340</f>
        <v>12601</v>
      </c>
      <c r="AC351" s="60">
        <f>[2]monthly!AY448</f>
        <v>2.7036227978098668E-2</v>
      </c>
      <c r="AD351" s="60">
        <f>[2]monthly!AZ448</f>
        <v>0.80486356890055943</v>
      </c>
      <c r="AE351" s="60">
        <f>[2]monthly!BA448</f>
        <v>0.7830802603036876</v>
      </c>
      <c r="AF351" s="83">
        <v>11426.963450885956</v>
      </c>
      <c r="AG351" s="80">
        <v>3830.8685137776401</v>
      </c>
      <c r="AH351" s="64">
        <v>198169.02470000001</v>
      </c>
      <c r="AI351" s="4">
        <v>558.6</v>
      </c>
      <c r="AJ351" s="69">
        <v>411.3</v>
      </c>
      <c r="AK351" s="68">
        <v>97.1</v>
      </c>
      <c r="AL351" s="74">
        <v>97.493310786782786</v>
      </c>
      <c r="AM351" s="73">
        <v>18384</v>
      </c>
      <c r="AT351" s="68"/>
      <c r="AU351" s="68"/>
      <c r="AV351" s="68"/>
      <c r="AW351" s="68"/>
    </row>
    <row r="352" spans="1:49" ht="16.5" thickBot="1">
      <c r="A352" s="28">
        <v>45261</v>
      </c>
      <c r="B352" s="29">
        <f t="shared" si="15"/>
        <v>12</v>
      </c>
      <c r="C352" s="29">
        <f t="shared" si="16"/>
        <v>4</v>
      </c>
      <c r="D352" s="29">
        <f t="shared" si="17"/>
        <v>2023</v>
      </c>
      <c r="E352" s="21">
        <f>[3]monthly!G448</f>
        <v>97.765363128499999</v>
      </c>
      <c r="F352" s="52">
        <v>18442</v>
      </c>
      <c r="G352" s="52">
        <v>14255</v>
      </c>
      <c r="H352" s="56">
        <v>8840</v>
      </c>
      <c r="I352" s="36">
        <v>3302</v>
      </c>
      <c r="J352" s="13">
        <v>125</v>
      </c>
      <c r="K352" s="42">
        <v>461.2</v>
      </c>
      <c r="L352" s="23">
        <v>71.900000000000006</v>
      </c>
      <c r="M352" s="30">
        <v>92.36</v>
      </c>
      <c r="N352" s="30">
        <v>3.6710000000000003</v>
      </c>
      <c r="O352" s="12">
        <v>1824.9976190476189</v>
      </c>
      <c r="P352" s="12">
        <v>1849.0957142857139</v>
      </c>
      <c r="Q352" s="12">
        <v>14690.473974600001</v>
      </c>
      <c r="R352" s="12">
        <v>4685.0514893</v>
      </c>
      <c r="S352" s="34">
        <v>0.17</v>
      </c>
      <c r="T352" s="42">
        <v>159.4</v>
      </c>
      <c r="U352" s="42">
        <v>159.19999999999999</v>
      </c>
      <c r="V352" s="42">
        <v>115.1</v>
      </c>
      <c r="W352" s="42">
        <v>152.9</v>
      </c>
      <c r="X352" s="23">
        <f>[1]ישיר!D341/1000</f>
        <v>17959.653999999999</v>
      </c>
      <c r="Y352" s="23">
        <v>11132.906999999999</v>
      </c>
      <c r="Z352" s="23">
        <f>[1]עקיף!H341</f>
        <v>3302</v>
      </c>
      <c r="AA352" s="23">
        <f>[1]עקיף!P341</f>
        <v>1800</v>
      </c>
      <c r="AB352" s="23">
        <f>[1]עקיף!Q341</f>
        <v>13942</v>
      </c>
      <c r="AC352" s="60">
        <f>[2]monthly!AY449</f>
        <v>2.6576194515125814E-2</v>
      </c>
      <c r="AD352" s="60">
        <f>[2]monthly!AZ449</f>
        <v>0.80446698660358906</v>
      </c>
      <c r="AE352" s="60">
        <f>[2]monthly!BA449</f>
        <v>0.78308731548661503</v>
      </c>
      <c r="AF352" s="83">
        <v>11381.31875000664</v>
      </c>
      <c r="AG352" s="80">
        <v>3898.9215950521198</v>
      </c>
      <c r="AH352" s="64">
        <v>204693.95259999999</v>
      </c>
      <c r="AI352" s="4">
        <v>564.70000000000005</v>
      </c>
      <c r="AJ352" s="69">
        <v>461.4</v>
      </c>
      <c r="AK352" s="68">
        <v>94.2</v>
      </c>
      <c r="AL352" s="74">
        <v>98.057573847838029</v>
      </c>
      <c r="AM352" s="73">
        <v>30264</v>
      </c>
      <c r="AT352" s="68"/>
      <c r="AU352" s="68"/>
      <c r="AV352" s="68"/>
      <c r="AW352" s="68"/>
    </row>
    <row r="353" spans="1:49" ht="16.5" thickBot="1">
      <c r="A353" s="28">
        <v>45292</v>
      </c>
      <c r="B353" s="29">
        <f t="shared" si="15"/>
        <v>1</v>
      </c>
      <c r="C353" s="29">
        <f t="shared" si="16"/>
        <v>1</v>
      </c>
      <c r="D353" s="29">
        <f t="shared" si="17"/>
        <v>2024</v>
      </c>
      <c r="E353" s="21">
        <f>[3]monthly!G449</f>
        <v>97.765363128499999</v>
      </c>
      <c r="F353" s="52">
        <v>25688</v>
      </c>
      <c r="G353" s="52">
        <v>16512</v>
      </c>
      <c r="H353" s="56">
        <v>12942</v>
      </c>
      <c r="I353" s="36">
        <v>1746</v>
      </c>
      <c r="J353" s="13">
        <v>123.9</v>
      </c>
      <c r="K353" s="42">
        <v>481</v>
      </c>
      <c r="L353" s="23">
        <v>74.382857142857148</v>
      </c>
      <c r="M353" s="30">
        <v>94.58</v>
      </c>
      <c r="N353" s="30">
        <v>3.7133181818181811</v>
      </c>
      <c r="O353" s="12">
        <v>1851.1426086956521</v>
      </c>
      <c r="P353" s="12">
        <v>1878.2086956521741</v>
      </c>
      <c r="Q353" s="12">
        <v>15081.388160523806</v>
      </c>
      <c r="R353" s="12">
        <v>4804.4915131904754</v>
      </c>
      <c r="S353" s="34">
        <v>0.17</v>
      </c>
      <c r="T353" s="42">
        <v>167</v>
      </c>
      <c r="U353" s="42">
        <v>160.4</v>
      </c>
      <c r="V353" s="42">
        <v>115.4</v>
      </c>
      <c r="W353" s="42">
        <v>154.1</v>
      </c>
      <c r="X353" s="23">
        <f>[1]ישיר!D342/1000</f>
        <v>28143.571</v>
      </c>
      <c r="Y353" s="23">
        <v>14455.513999999999</v>
      </c>
      <c r="Z353" s="23">
        <f>[1]עקיף!H342</f>
        <v>1746</v>
      </c>
      <c r="AA353" s="23">
        <f>[1]עקיף!P342</f>
        <v>1930</v>
      </c>
      <c r="AB353" s="23">
        <f>[1]עקיף!Q342</f>
        <v>16618</v>
      </c>
      <c r="AC353" s="60">
        <f>[2]monthly!AY450</f>
        <v>3.0226060452120902E-2</v>
      </c>
      <c r="AD353" s="60">
        <f>[2]monthly!AZ450</f>
        <v>0.80471021075581406</v>
      </c>
      <c r="AE353" s="60">
        <f>[2]monthly!BA450</f>
        <v>0.78038699127906974</v>
      </c>
      <c r="AF353" s="83">
        <v>11308.708858004555</v>
      </c>
      <c r="AG353" s="80">
        <v>3942.7905862981002</v>
      </c>
      <c r="AH353" s="64">
        <v>206125.26439999999</v>
      </c>
      <c r="AI353" s="4">
        <v>569.20000000000005</v>
      </c>
      <c r="AJ353" s="69">
        <v>481.1</v>
      </c>
      <c r="AK353" s="68">
        <v>98.1</v>
      </c>
      <c r="AL353" s="74">
        <v>98.864697361728275</v>
      </c>
      <c r="AM353" s="73">
        <v>45888</v>
      </c>
      <c r="AT353" s="68"/>
      <c r="AU353" s="68"/>
      <c r="AV353" s="68"/>
      <c r="AW353" s="68"/>
    </row>
    <row r="354" spans="1:49" ht="16.5" thickBot="1">
      <c r="A354" s="28">
        <v>45323</v>
      </c>
      <c r="B354" s="29">
        <f t="shared" si="15"/>
        <v>2</v>
      </c>
      <c r="C354" s="29">
        <f t="shared" si="16"/>
        <v>1</v>
      </c>
      <c r="D354" s="29">
        <f t="shared" si="17"/>
        <v>2024</v>
      </c>
      <c r="E354" s="21">
        <f>[3]monthly!G450</f>
        <v>98.137802607099999</v>
      </c>
      <c r="F354" s="52">
        <v>20151</v>
      </c>
      <c r="G354" s="52">
        <v>14316</v>
      </c>
      <c r="H354" s="56">
        <v>10666</v>
      </c>
      <c r="I354" s="36">
        <v>1756</v>
      </c>
      <c r="J354" s="13">
        <v>123.5</v>
      </c>
      <c r="K354" s="42">
        <v>469.9</v>
      </c>
      <c r="L354" s="23">
        <v>77.248999999999995</v>
      </c>
      <c r="M354" s="30">
        <v>93.6</v>
      </c>
      <c r="N354" s="30">
        <v>3.6458500000000007</v>
      </c>
      <c r="O354" s="12">
        <v>1872.3884999999996</v>
      </c>
      <c r="P354" s="12">
        <v>1905.7740000000001</v>
      </c>
      <c r="Q354" s="12">
        <v>15808.935009750003</v>
      </c>
      <c r="R354" s="12">
        <v>5011.9614258000001</v>
      </c>
      <c r="S354" s="34">
        <v>0.17</v>
      </c>
      <c r="T354" s="42">
        <v>163.4</v>
      </c>
      <c r="U354" s="42">
        <v>163.19999999999999</v>
      </c>
      <c r="V354" s="42">
        <v>113.5</v>
      </c>
      <c r="W354" s="42">
        <v>156.1</v>
      </c>
      <c r="X354" s="23">
        <f>[1]ישיר!D343/1000</f>
        <v>19580.322</v>
      </c>
      <c r="Y354" s="23">
        <v>11583.009</v>
      </c>
      <c r="Z354" s="23">
        <f>[1]עקיף!H343</f>
        <v>1756</v>
      </c>
      <c r="AA354" s="23">
        <f>[1]עקיף!P343</f>
        <v>1880</v>
      </c>
      <c r="AB354" s="23">
        <f>[1]עקיף!Q343</f>
        <v>14302</v>
      </c>
      <c r="AC354" s="60">
        <f>[2]monthly!AY451</f>
        <v>2.996845425867508E-2</v>
      </c>
      <c r="AD354" s="60">
        <f>[2]monthly!AZ451</f>
        <v>0.8070007955449483</v>
      </c>
      <c r="AE354" s="60">
        <f>[2]monthly!BA451</f>
        <v>0.78283895897261047</v>
      </c>
      <c r="AF354" s="83">
        <v>11376.696653112655</v>
      </c>
      <c r="AG354" s="80">
        <v>3985.7398711793398</v>
      </c>
      <c r="AH354" s="64">
        <v>206820.8395</v>
      </c>
      <c r="AI354" s="4">
        <v>574.29999999999995</v>
      </c>
      <c r="AJ354" s="69">
        <v>470.2</v>
      </c>
      <c r="AK354" s="68">
        <v>96.4</v>
      </c>
      <c r="AL354" s="74">
        <v>99.03901235394757</v>
      </c>
      <c r="AM354" s="73">
        <v>45672</v>
      </c>
      <c r="AT354" s="68"/>
      <c r="AU354" s="68"/>
      <c r="AV354" s="68"/>
      <c r="AW354" s="68"/>
    </row>
    <row r="355" spans="1:49" ht="16.5" thickBot="1">
      <c r="A355" s="28">
        <v>45352</v>
      </c>
      <c r="B355" s="29">
        <f t="shared" si="15"/>
        <v>3</v>
      </c>
      <c r="C355" s="29">
        <f t="shared" si="16"/>
        <v>1</v>
      </c>
      <c r="D355" s="29">
        <f t="shared" si="17"/>
        <v>2024</v>
      </c>
      <c r="E355" s="21">
        <f>[3]monthly!G451</f>
        <v>98.696461825</v>
      </c>
      <c r="F355" s="52">
        <v>20718</v>
      </c>
      <c r="G355" s="52">
        <v>15129</v>
      </c>
      <c r="H355" s="56">
        <v>11273</v>
      </c>
      <c r="I355" s="36">
        <v>1829</v>
      </c>
      <c r="J355" s="13">
        <v>127.6</v>
      </c>
      <c r="K355" s="42">
        <v>477.1</v>
      </c>
      <c r="L355" s="23">
        <v>81.278000000000006</v>
      </c>
      <c r="M355" s="30">
        <v>95.57</v>
      </c>
      <c r="N355" s="30">
        <v>3.627842105263158</v>
      </c>
      <c r="O355" s="12">
        <v>1950.5660000000003</v>
      </c>
      <c r="P355" s="12">
        <v>1986.9255000000005</v>
      </c>
      <c r="Q355" s="12">
        <v>16216.295507800003</v>
      </c>
      <c r="R355" s="12">
        <v>5170.5724853000002</v>
      </c>
      <c r="S355" s="34">
        <v>0.17</v>
      </c>
      <c r="T355" s="42">
        <v>166</v>
      </c>
      <c r="U355" s="42">
        <v>165.6</v>
      </c>
      <c r="V355" s="42">
        <v>116.2</v>
      </c>
      <c r="W355" s="42">
        <v>157</v>
      </c>
      <c r="X355" s="23">
        <f>[1]ישיר!D344/1000</f>
        <v>21821.737000000001</v>
      </c>
      <c r="Y355" s="23">
        <v>12996.958000000001</v>
      </c>
      <c r="Z355" s="23">
        <f>[1]עקיף!H344</f>
        <v>1829</v>
      </c>
      <c r="AA355" s="23">
        <f>[1]עקיף!P344</f>
        <v>2115</v>
      </c>
      <c r="AB355" s="23">
        <f>[1]עקיף!Q344</f>
        <v>15217</v>
      </c>
      <c r="AC355" s="60">
        <f>[2]monthly!AY452</f>
        <v>3.007244342112652E-2</v>
      </c>
      <c r="AD355" s="60">
        <f>[2]monthly!AZ452</f>
        <v>0.80817845553361933</v>
      </c>
      <c r="AE355" s="60">
        <f>[2]monthly!BA452</f>
        <v>0.78387455465541112</v>
      </c>
      <c r="AF355" s="83">
        <v>11302.97247728967</v>
      </c>
      <c r="AG355" s="80">
        <v>3987.4805322260499</v>
      </c>
      <c r="AH355" s="64">
        <v>213741.005</v>
      </c>
      <c r="AI355" s="4">
        <v>574.9</v>
      </c>
      <c r="AJ355" s="69">
        <v>475.4</v>
      </c>
      <c r="AK355" s="68">
        <v>94.9</v>
      </c>
      <c r="AL355" s="74">
        <v>99.250417719834516</v>
      </c>
      <c r="AM355" s="73">
        <v>45756</v>
      </c>
      <c r="AT355" s="68"/>
      <c r="AU355" s="69"/>
      <c r="AV355" s="68"/>
      <c r="AW355" s="68"/>
    </row>
    <row r="356" spans="1:49" ht="16.5" thickBot="1">
      <c r="A356" s="28">
        <v>45383</v>
      </c>
      <c r="B356" s="29">
        <f t="shared" si="15"/>
        <v>4</v>
      </c>
      <c r="C356" s="29">
        <f t="shared" si="16"/>
        <v>2</v>
      </c>
      <c r="D356" s="29">
        <f t="shared" si="17"/>
        <v>2024</v>
      </c>
      <c r="E356" s="21">
        <f>[3]monthly!G452</f>
        <v>99.5344506518</v>
      </c>
      <c r="F356" s="52">
        <v>22191</v>
      </c>
      <c r="G356" s="52">
        <v>8818</v>
      </c>
      <c r="H356" s="56">
        <v>4930</v>
      </c>
      <c r="I356" s="36">
        <v>1812</v>
      </c>
      <c r="J356" s="13">
        <v>126.7</v>
      </c>
      <c r="K356" s="42">
        <v>472.8</v>
      </c>
      <c r="L356" s="23">
        <v>85.347272727272724</v>
      </c>
      <c r="M356" s="30">
        <v>96.22</v>
      </c>
      <c r="N356" s="30">
        <v>3.7433157894736846</v>
      </c>
      <c r="O356" s="12">
        <v>1947.2577777777778</v>
      </c>
      <c r="P356" s="12">
        <v>1972.915</v>
      </c>
      <c r="Q356" s="12">
        <v>15950.863547590909</v>
      </c>
      <c r="R356" s="12">
        <v>5112.4927424090911</v>
      </c>
      <c r="S356" s="34">
        <v>0.17</v>
      </c>
      <c r="T356" s="42">
        <v>164.5</v>
      </c>
      <c r="U356" s="42">
        <v>162.9</v>
      </c>
      <c r="V356" s="42">
        <v>112.6</v>
      </c>
      <c r="W356" s="42">
        <v>149.69999999999999</v>
      </c>
      <c r="X356" s="23">
        <f>[1]ישיר!D345/1000</f>
        <v>22312.038</v>
      </c>
      <c r="Y356" s="23">
        <v>14296.179</v>
      </c>
      <c r="Z356" s="23">
        <f>[1]עקיף!H345</f>
        <v>1812</v>
      </c>
      <c r="AA356" s="23">
        <f>[1]עקיף!P345</f>
        <v>1927</v>
      </c>
      <c r="AB356" s="23">
        <f>[1]עקיף!Q345</f>
        <v>8669</v>
      </c>
      <c r="AC356" s="60">
        <f>[2]monthly!AY453</f>
        <v>3.037670467247932E-2</v>
      </c>
      <c r="AD356" s="60">
        <f>[2]monthly!AZ453</f>
        <v>0.81069324875396465</v>
      </c>
      <c r="AE356" s="60">
        <f>[2]monthly!BA453</f>
        <v>0.7860670593565926</v>
      </c>
      <c r="AF356" s="83">
        <v>11266.436366746953</v>
      </c>
      <c r="AG356" s="80">
        <v>4010.9069134577899</v>
      </c>
      <c r="AH356" s="64">
        <v>208108.74849999999</v>
      </c>
      <c r="AI356" s="4">
        <v>579.5</v>
      </c>
      <c r="AJ356" s="69">
        <v>472.5</v>
      </c>
      <c r="AK356" s="68">
        <v>97.8</v>
      </c>
      <c r="AL356" s="74">
        <v>99.106345267595103</v>
      </c>
      <c r="AM356" s="73">
        <v>46644</v>
      </c>
      <c r="AT356" s="68"/>
      <c r="AU356" s="69"/>
      <c r="AV356" s="68"/>
      <c r="AW356" s="68"/>
    </row>
    <row r="357" spans="1:49" ht="16.5" thickBot="1">
      <c r="A357" s="28">
        <v>45413</v>
      </c>
      <c r="B357" s="29">
        <f t="shared" si="15"/>
        <v>5</v>
      </c>
      <c r="C357" s="29">
        <f t="shared" si="16"/>
        <v>2</v>
      </c>
      <c r="D357" s="29">
        <f t="shared" si="17"/>
        <v>2024</v>
      </c>
      <c r="E357" s="21">
        <f>[3]monthly!G453</f>
        <v>99.720670391100001</v>
      </c>
      <c r="F357" s="52">
        <v>21176</v>
      </c>
      <c r="G357" s="52">
        <v>21062</v>
      </c>
      <c r="H357" s="56">
        <v>16989</v>
      </c>
      <c r="I357" s="36">
        <v>2263</v>
      </c>
      <c r="J357" s="13">
        <v>120.3</v>
      </c>
      <c r="K357" s="42">
        <v>476.2</v>
      </c>
      <c r="L357" s="23">
        <v>80.024545454545489</v>
      </c>
      <c r="M357" s="30">
        <v>94.33</v>
      </c>
      <c r="N357" s="30">
        <v>3.6600952380952387</v>
      </c>
      <c r="O357" s="12">
        <v>1977.2474999999999</v>
      </c>
      <c r="P357" s="12">
        <v>1985.7009999999998</v>
      </c>
      <c r="Q357" s="12">
        <v>16536.317160954542</v>
      </c>
      <c r="R357" s="12">
        <v>5235.2254971818184</v>
      </c>
      <c r="S357" s="34">
        <v>0.17</v>
      </c>
      <c r="T357" s="42">
        <v>168</v>
      </c>
      <c r="U357" s="42">
        <v>168.3</v>
      </c>
      <c r="V357" s="42">
        <v>114.1</v>
      </c>
      <c r="W357" s="42">
        <v>152.9</v>
      </c>
      <c r="X357" s="23">
        <f>[1]ישיר!D346/1000</f>
        <v>21755.808000000001</v>
      </c>
      <c r="Y357" s="23">
        <v>13225.697</v>
      </c>
      <c r="Z357" s="23">
        <f>[1]עקיף!H346</f>
        <v>2263</v>
      </c>
      <c r="AA357" s="23">
        <f>[1]עקיף!P346</f>
        <v>1996</v>
      </c>
      <c r="AB357" s="23">
        <f>[1]עקיף!Q346</f>
        <v>21248</v>
      </c>
      <c r="AC357" s="60">
        <f>[2]monthly!AY454</f>
        <v>3.0147368421052635E-2</v>
      </c>
      <c r="AD357" s="60">
        <f>[2]monthly!AZ454</f>
        <v>0.80910742675448555</v>
      </c>
      <c r="AE357" s="60">
        <f>[2]monthly!BA454</f>
        <v>0.78471496706790822</v>
      </c>
      <c r="AF357" s="83">
        <v>11328.325789969967</v>
      </c>
      <c r="AG357" s="80">
        <v>4010.7606552244597</v>
      </c>
      <c r="AH357" s="64">
        <v>210509.91190000001</v>
      </c>
      <c r="AI357" s="4">
        <v>583.6</v>
      </c>
      <c r="AJ357" s="69">
        <v>476</v>
      </c>
      <c r="AK357" s="68">
        <v>98.3</v>
      </c>
      <c r="AL357" s="74">
        <v>99.078668111094672</v>
      </c>
      <c r="AM357" s="73">
        <v>46620</v>
      </c>
      <c r="AT357" s="68"/>
      <c r="AU357" s="68"/>
      <c r="AV357" s="68"/>
      <c r="AW357" s="68"/>
    </row>
    <row r="358" spans="1:49" ht="16.5" thickBot="1">
      <c r="A358" s="28">
        <v>45444</v>
      </c>
      <c r="B358" s="29">
        <f t="shared" si="15"/>
        <v>6</v>
      </c>
      <c r="C358" s="29">
        <f t="shared" si="16"/>
        <v>2</v>
      </c>
      <c r="D358" s="29">
        <f t="shared" si="17"/>
        <v>2024</v>
      </c>
      <c r="E358" s="21">
        <f>[3]monthly!G454</f>
        <v>99.8137802607</v>
      </c>
      <c r="F358" s="52">
        <v>19262</v>
      </c>
      <c r="G358" s="52">
        <v>14463</v>
      </c>
      <c r="H358" s="56">
        <v>10307</v>
      </c>
      <c r="I358" s="36">
        <v>2047</v>
      </c>
      <c r="J358" s="13">
        <v>121.2</v>
      </c>
      <c r="K358" s="42">
        <v>480.4</v>
      </c>
      <c r="L358" s="23">
        <v>79.767368421052609</v>
      </c>
      <c r="M358" s="30">
        <v>95.11</v>
      </c>
      <c r="N358" s="30">
        <v>3.7247368421052629</v>
      </c>
      <c r="O358" s="12">
        <v>1984.2494736842109</v>
      </c>
      <c r="P358" s="12">
        <v>1959.9768421052631</v>
      </c>
      <c r="Q358" s="12">
        <v>17495.891578947369</v>
      </c>
      <c r="R358" s="12">
        <v>5415.1405211578931</v>
      </c>
      <c r="S358" s="34">
        <v>0.17</v>
      </c>
      <c r="T358" s="42">
        <v>166.4</v>
      </c>
      <c r="U358" s="42">
        <v>166.1</v>
      </c>
      <c r="V358" s="42">
        <v>115.8</v>
      </c>
      <c r="W358" s="42">
        <v>151.5</v>
      </c>
      <c r="X358" s="23">
        <f>[1]ישיר!D347/1000</f>
        <v>19942.723000000002</v>
      </c>
      <c r="Y358" s="23">
        <v>12511.419</v>
      </c>
      <c r="Z358" s="23">
        <f>[1]עקיף!H347</f>
        <v>2047</v>
      </c>
      <c r="AA358" s="23">
        <f>[1]עקיף!P347</f>
        <v>2113</v>
      </c>
      <c r="AB358" s="23">
        <f>[1]עקיף!Q347</f>
        <v>14467</v>
      </c>
      <c r="AC358" s="60">
        <f>[2]monthly!AY455</f>
        <v>2.7617661872516647E-2</v>
      </c>
      <c r="AD358" s="60">
        <f>[2]monthly!AZ455</f>
        <v>0.8083508629074212</v>
      </c>
      <c r="AE358" s="60">
        <f>[2]monthly!BA455</f>
        <v>0.78602610210128687</v>
      </c>
      <c r="AF358" s="83">
        <v>11290.81781292264</v>
      </c>
      <c r="AG358" s="80">
        <v>4013.30045084939</v>
      </c>
      <c r="AH358" s="64">
        <v>210280.50700000001</v>
      </c>
      <c r="AI358" s="4">
        <v>587.1</v>
      </c>
      <c r="AJ358" s="69">
        <v>480.4</v>
      </c>
      <c r="AK358" s="68">
        <v>98.5</v>
      </c>
      <c r="AL358" s="74">
        <v>98.93833015681669</v>
      </c>
      <c r="AM358" s="73">
        <v>46440</v>
      </c>
      <c r="AT358" s="68"/>
      <c r="AU358" s="68"/>
      <c r="AV358" s="68"/>
      <c r="AW358" s="68"/>
    </row>
    <row r="359" spans="1:49" ht="16.5" thickBot="1">
      <c r="A359" s="28">
        <v>45474</v>
      </c>
      <c r="B359" s="29">
        <f t="shared" si="15"/>
        <v>7</v>
      </c>
      <c r="C359" s="29">
        <f t="shared" si="16"/>
        <v>3</v>
      </c>
      <c r="D359" s="29">
        <f t="shared" si="17"/>
        <v>2024</v>
      </c>
      <c r="E359" s="21">
        <f>[3]monthly!G455</f>
        <v>100.3724394786</v>
      </c>
      <c r="F359" s="52">
        <v>21467</v>
      </c>
      <c r="G359" s="52">
        <v>17030</v>
      </c>
      <c r="H359" s="56">
        <v>12427</v>
      </c>
      <c r="I359" s="36">
        <v>2328</v>
      </c>
      <c r="J359" s="13">
        <v>124.2</v>
      </c>
      <c r="K359" s="42">
        <v>491.6</v>
      </c>
      <c r="L359" s="23">
        <v>81.800454545454542</v>
      </c>
      <c r="M359" s="30">
        <v>94.88</v>
      </c>
      <c r="N359" s="30">
        <v>3.6814347826086968</v>
      </c>
      <c r="O359" s="12">
        <v>2037.4886956521741</v>
      </c>
      <c r="P359" s="12">
        <v>2025.5095652173907</v>
      </c>
      <c r="Q359" s="12">
        <v>17963.291363636359</v>
      </c>
      <c r="R359" s="12">
        <v>5538.0045454545461</v>
      </c>
      <c r="S359" s="34">
        <v>0.17</v>
      </c>
      <c r="T359" s="42">
        <v>171.9</v>
      </c>
      <c r="U359" s="42">
        <v>170.4</v>
      </c>
      <c r="V359" s="42">
        <v>116.6</v>
      </c>
      <c r="W359" s="42">
        <v>153.9</v>
      </c>
      <c r="X359" s="23">
        <f>[1]ישיר!D348/1000</f>
        <v>22854.164000000001</v>
      </c>
      <c r="Y359" s="23">
        <v>14791.143</v>
      </c>
      <c r="Z359" s="23">
        <f>[1]עקיף!H348</f>
        <v>2328</v>
      </c>
      <c r="AA359" s="23">
        <f>[1]עקיף!P348</f>
        <v>2233</v>
      </c>
      <c r="AB359" s="23">
        <f>[1]עקיף!Q348</f>
        <v>16988</v>
      </c>
      <c r="AC359" s="60">
        <f>[2]monthly!AY456</f>
        <v>2.6494146642020946E-2</v>
      </c>
      <c r="AD359" s="60">
        <f>[2]monthly!AZ456</f>
        <v>0.80709764918625682</v>
      </c>
      <c r="AE359" s="60">
        <f>[2]monthly!BA456</f>
        <v>0.7857142857142857</v>
      </c>
      <c r="AF359" s="83">
        <v>11271.712493383715</v>
      </c>
      <c r="AG359" s="80">
        <v>4033.8683148203299</v>
      </c>
      <c r="AH359" s="64">
        <v>213634.36799999999</v>
      </c>
      <c r="AI359" s="4">
        <v>591.79999999999995</v>
      </c>
      <c r="AJ359" s="69">
        <v>491.6</v>
      </c>
      <c r="AK359" s="68">
        <v>99.6</v>
      </c>
      <c r="AL359" s="74">
        <v>99.025287737173429</v>
      </c>
      <c r="AM359" s="73">
        <v>48528</v>
      </c>
      <c r="AT359" s="68"/>
      <c r="AU359" s="68"/>
      <c r="AV359" s="68"/>
      <c r="AW359" s="68"/>
    </row>
    <row r="360" spans="1:49" ht="16.5" thickBot="1">
      <c r="A360" s="28">
        <v>45505</v>
      </c>
      <c r="B360" s="29">
        <f t="shared" si="15"/>
        <v>8</v>
      </c>
      <c r="C360" s="29">
        <f t="shared" si="16"/>
        <v>3</v>
      </c>
      <c r="D360" s="29">
        <f t="shared" si="17"/>
        <v>2024</v>
      </c>
      <c r="E360" s="21">
        <f>[3]monthly!G456</f>
        <v>101.303538175</v>
      </c>
      <c r="F360" s="52">
        <v>20946</v>
      </c>
      <c r="G360" s="52">
        <v>14603</v>
      </c>
      <c r="H360" s="56">
        <v>10158</v>
      </c>
      <c r="I360" s="36">
        <v>2278</v>
      </c>
      <c r="J360" s="13">
        <v>124.4</v>
      </c>
      <c r="K360" s="42">
        <v>472.5</v>
      </c>
      <c r="L360" s="23">
        <v>76.683181818181822</v>
      </c>
      <c r="M360" s="30">
        <v>96.01</v>
      </c>
      <c r="N360" s="30">
        <v>3.7317619047619055</v>
      </c>
      <c r="O360" s="12">
        <v>2027.6449999999998</v>
      </c>
      <c r="P360" s="12">
        <v>2014.2720000000002</v>
      </c>
      <c r="Q360" s="12">
        <v>17268.269090909089</v>
      </c>
      <c r="R360" s="12">
        <v>5478.2145454545462</v>
      </c>
      <c r="S360" s="34">
        <v>0.17</v>
      </c>
      <c r="T360" s="42">
        <v>167.2</v>
      </c>
      <c r="U360" s="42">
        <v>161.30000000000001</v>
      </c>
      <c r="V360" s="42">
        <v>111.5</v>
      </c>
      <c r="W360" s="42">
        <v>150.9</v>
      </c>
      <c r="X360" s="23">
        <f>[1]ישיר!D349/1000</f>
        <v>21290.401000000002</v>
      </c>
      <c r="Y360" s="23">
        <v>13168.84</v>
      </c>
      <c r="Z360" s="23">
        <f>[1]עקיף!H349</f>
        <v>2278</v>
      </c>
      <c r="AA360" s="23">
        <f>[1]עקיף!P349</f>
        <v>2181</v>
      </c>
      <c r="AB360" s="23">
        <f>[1]עקיף!Q349</f>
        <v>14617</v>
      </c>
      <c r="AC360" s="60">
        <f>[2]monthly!AY457</f>
        <v>2.5447215923406402E-2</v>
      </c>
      <c r="AD360" s="60">
        <f>[2]monthly!AZ457</f>
        <v>0.8048351846427686</v>
      </c>
      <c r="AE360" s="60">
        <f>[2]monthly!BA457</f>
        <v>0.78437690106572333</v>
      </c>
      <c r="AF360" s="83">
        <v>11112.541250098804</v>
      </c>
      <c r="AG360" s="80">
        <v>4019.7032478370807</v>
      </c>
      <c r="AH360" s="64">
        <v>217384.54</v>
      </c>
      <c r="AI360" s="4">
        <v>593</v>
      </c>
      <c r="AJ360" s="69">
        <v>472</v>
      </c>
      <c r="AK360" s="68">
        <v>100</v>
      </c>
      <c r="AL360" s="74">
        <v>98.700889336452221</v>
      </c>
      <c r="AM360" s="73">
        <v>44808</v>
      </c>
      <c r="AT360" s="68"/>
      <c r="AU360" s="68"/>
      <c r="AV360" s="68"/>
      <c r="AW360" s="68"/>
    </row>
    <row r="361" spans="1:49" ht="16.5" thickBot="1">
      <c r="A361" s="28">
        <v>45536</v>
      </c>
      <c r="B361" s="29">
        <f t="shared" si="15"/>
        <v>9</v>
      </c>
      <c r="C361" s="29">
        <f t="shared" si="16"/>
        <v>3</v>
      </c>
      <c r="D361" s="29">
        <f t="shared" si="17"/>
        <v>2024</v>
      </c>
      <c r="E361" s="21">
        <f>[3]monthly!G457</f>
        <v>101.1173184358</v>
      </c>
      <c r="F361" s="52">
        <v>20188</v>
      </c>
      <c r="G361" s="52">
        <v>17807</v>
      </c>
      <c r="H361" s="56">
        <v>13385</v>
      </c>
      <c r="I361" s="36">
        <v>2115</v>
      </c>
      <c r="J361" s="13">
        <v>126.9</v>
      </c>
      <c r="K361" s="42">
        <v>480.5</v>
      </c>
      <c r="L361" s="23">
        <v>70.236000000000004</v>
      </c>
      <c r="M361" s="30">
        <v>94.27</v>
      </c>
      <c r="N361" s="30">
        <v>3.7328095238095238</v>
      </c>
      <c r="O361" s="12">
        <v>2050.0899999999997</v>
      </c>
      <c r="P361" s="12">
        <v>2046.0299999999995</v>
      </c>
      <c r="Q361" s="12">
        <v>17599.230000000003</v>
      </c>
      <c r="R361" s="12">
        <v>5621.2604999999985</v>
      </c>
      <c r="S361" s="34">
        <v>0.17</v>
      </c>
      <c r="T361" s="42">
        <v>168.9</v>
      </c>
      <c r="U361" s="42">
        <v>166</v>
      </c>
      <c r="V361" s="42">
        <v>114.1</v>
      </c>
      <c r="W361" s="42">
        <v>157.19999999999999</v>
      </c>
      <c r="X361" s="23">
        <f>[1]ישיר!D350/1000</f>
        <v>21221.358</v>
      </c>
      <c r="Y361" s="23">
        <v>12536.391</v>
      </c>
      <c r="Z361" s="23">
        <f>[1]עקיף!H350</f>
        <v>2115</v>
      </c>
      <c r="AA361" s="23">
        <f>[1]עקיף!P350</f>
        <v>2297</v>
      </c>
      <c r="AB361" s="23">
        <f>[1]עקיף!Q350</f>
        <v>17797</v>
      </c>
      <c r="AC361" s="60">
        <f>[2]monthly!AY458</f>
        <v>2.5194340361277334E-2</v>
      </c>
      <c r="AD361" s="60">
        <f>[2]monthly!AZ458</f>
        <v>0.80472547254725468</v>
      </c>
      <c r="AE361" s="60">
        <f>[2]monthly!BA458</f>
        <v>0.78445094509450941</v>
      </c>
      <c r="AF361" s="83">
        <v>11151.531107364914</v>
      </c>
      <c r="AG361" s="80">
        <v>4077.28291215638</v>
      </c>
      <c r="AH361" s="64">
        <v>220377.37890000001</v>
      </c>
      <c r="AI361" s="4">
        <v>592.4</v>
      </c>
      <c r="AJ361" s="69">
        <v>480.9</v>
      </c>
      <c r="AK361" s="68">
        <v>99.8</v>
      </c>
      <c r="AL361" s="74">
        <v>98.859411262806432</v>
      </c>
      <c r="AM361" s="73">
        <v>41688</v>
      </c>
      <c r="AV361" s="68"/>
      <c r="AW361" s="68"/>
    </row>
    <row r="362" spans="1:49" ht="16.5" thickBot="1">
      <c r="A362" s="28">
        <v>45566</v>
      </c>
      <c r="B362" s="29">
        <f t="shared" ref="B362:B364" si="18">MONTH(A362)</f>
        <v>10</v>
      </c>
      <c r="C362" s="29">
        <f t="shared" ref="C362:C364" si="19">ROUNDUP(B362/3,0)</f>
        <v>4</v>
      </c>
      <c r="D362" s="29">
        <f t="shared" ref="D362:D364" si="20">YEAR(A362)</f>
        <v>2024</v>
      </c>
      <c r="E362" s="21">
        <f>[3]monthly!G458</f>
        <v>101.582867784</v>
      </c>
      <c r="F362" s="52">
        <v>20255</v>
      </c>
      <c r="G362" s="52">
        <v>15676</v>
      </c>
      <c r="H362" s="56">
        <v>11666</v>
      </c>
      <c r="I362" s="36">
        <v>1914</v>
      </c>
      <c r="J362" s="13">
        <v>124.9</v>
      </c>
      <c r="K362" s="42">
        <v>485.6</v>
      </c>
      <c r="L362" s="23">
        <v>71.984999999999999</v>
      </c>
      <c r="M362" s="30">
        <v>93.26</v>
      </c>
      <c r="N362" s="30">
        <v>3.7515882352941183</v>
      </c>
      <c r="O362" s="12">
        <v>2142.7152941176469</v>
      </c>
      <c r="P362" s="12">
        <v>2140.3829411764709</v>
      </c>
      <c r="Q362" s="12">
        <v>18316.116086956521</v>
      </c>
      <c r="R362" s="12">
        <v>5792.3195652173899</v>
      </c>
      <c r="S362" s="34">
        <v>0.17</v>
      </c>
      <c r="T362" s="42">
        <v>166.3</v>
      </c>
      <c r="U362" s="42">
        <v>165.4</v>
      </c>
      <c r="V362" s="42">
        <v>115.9</v>
      </c>
      <c r="W362" s="42">
        <v>145.9</v>
      </c>
      <c r="X362" s="23">
        <f>[1]ישיר!D351/1000</f>
        <v>20885.404999999999</v>
      </c>
      <c r="Y362" s="23">
        <v>12431.164000000001</v>
      </c>
      <c r="Z362" s="23">
        <f>[1]עקיף!H351</f>
        <v>1914</v>
      </c>
      <c r="AA362" s="23">
        <f>[1]עקיף!P351</f>
        <v>2017</v>
      </c>
      <c r="AB362" s="23">
        <f>[1]עקיף!Q351</f>
        <v>15597</v>
      </c>
      <c r="AC362" s="60">
        <f>[2]monthly!AY459</f>
        <v>2.4805679490417266E-2</v>
      </c>
      <c r="AD362" s="60">
        <f>[2]monthly!AZ459</f>
        <v>0.80457408619872206</v>
      </c>
      <c r="AE362" s="60">
        <f>[2]monthly!BA459</f>
        <v>0.78461607929018129</v>
      </c>
      <c r="AF362" s="83">
        <v>11272.995966568436</v>
      </c>
      <c r="AG362" s="80">
        <v>4039.8194891053204</v>
      </c>
      <c r="AH362" s="64">
        <v>216074.2286</v>
      </c>
      <c r="AI362" s="4">
        <v>593.6</v>
      </c>
      <c r="AJ362" s="69">
        <v>486</v>
      </c>
      <c r="AK362" s="68">
        <v>100</v>
      </c>
      <c r="AL362" s="74">
        <v>98.892360727925961</v>
      </c>
      <c r="AM362" s="73">
        <v>40524</v>
      </c>
      <c r="AV362" s="68"/>
      <c r="AW362" s="68"/>
    </row>
    <row r="363" spans="1:49" ht="16.5" thickBot="1">
      <c r="A363" s="28">
        <v>45597</v>
      </c>
      <c r="B363" s="29">
        <f t="shared" si="18"/>
        <v>11</v>
      </c>
      <c r="C363" s="29">
        <f t="shared" si="19"/>
        <v>4</v>
      </c>
      <c r="D363" s="29">
        <f t="shared" si="20"/>
        <v>2024</v>
      </c>
      <c r="E363" s="21">
        <f>[3]monthly!G459</f>
        <v>101.2104283054</v>
      </c>
      <c r="F363" s="52">
        <v>20897</v>
      </c>
      <c r="G363" s="52">
        <v>15135</v>
      </c>
      <c r="H363" s="54">
        <v>11059</v>
      </c>
      <c r="I363" s="36">
        <v>2121</v>
      </c>
      <c r="J363" s="13">
        <v>124.1</v>
      </c>
      <c r="K363" s="42">
        <v>495.4</v>
      </c>
      <c r="L363" s="23">
        <v>69.987000000000009</v>
      </c>
      <c r="M363" s="30">
        <v>93.68</v>
      </c>
      <c r="N363" s="30">
        <v>3.7188095238095231</v>
      </c>
      <c r="O363" s="12">
        <v>2260.7739999999999</v>
      </c>
      <c r="P363" s="12">
        <v>2275.622499999999</v>
      </c>
      <c r="Q363" s="12">
        <v>18961.398999999998</v>
      </c>
      <c r="R363" s="12">
        <v>5929.9160000000002</v>
      </c>
      <c r="S363" s="34">
        <v>0.17</v>
      </c>
      <c r="T363" s="42">
        <v>174.3</v>
      </c>
      <c r="U363" s="42">
        <v>169.2</v>
      </c>
      <c r="V363" s="42">
        <v>117.3</v>
      </c>
      <c r="W363" s="42">
        <v>159.19999999999999</v>
      </c>
      <c r="X363" s="23">
        <f>[1]ישיר!D352/1000</f>
        <v>21790.280999999999</v>
      </c>
      <c r="Y363" s="23">
        <v>12670.192999999999</v>
      </c>
      <c r="Z363" s="23">
        <f>[1]עקיף!H352</f>
        <v>2121</v>
      </c>
      <c r="AA363" s="23">
        <f>[1]עקיף!P352</f>
        <v>1785</v>
      </c>
      <c r="AB363" s="23">
        <f>[1]עקיף!Q352</f>
        <v>14965</v>
      </c>
      <c r="AC363" s="60">
        <f>[2]monthly!AY460</f>
        <v>2.5533226828106166E-2</v>
      </c>
      <c r="AD363" s="60">
        <f>[2]monthly!AZ460</f>
        <v>0.80650557200660056</v>
      </c>
      <c r="AE363" s="60">
        <f>[2]monthly!BA460</f>
        <v>0.7859128822984246</v>
      </c>
      <c r="AF363" s="83">
        <v>11222.128557548733</v>
      </c>
      <c r="AG363" s="80">
        <v>4064.0474890322603</v>
      </c>
      <c r="AH363" s="64">
        <v>217100.46189999999</v>
      </c>
      <c r="AI363" s="4">
        <v>596.6</v>
      </c>
      <c r="AJ363" s="69">
        <v>495.9</v>
      </c>
      <c r="AK363" s="68">
        <v>100.3</v>
      </c>
      <c r="AL363" s="74">
        <v>99.183124036158944</v>
      </c>
      <c r="AM363" s="73">
        <v>37080</v>
      </c>
      <c r="AV363" s="68"/>
      <c r="AW363" s="68"/>
    </row>
    <row r="364" spans="1:49" ht="16.5" thickBot="1">
      <c r="A364" s="28">
        <v>45627</v>
      </c>
      <c r="B364" s="29">
        <f t="shared" si="18"/>
        <v>12</v>
      </c>
      <c r="C364" s="29">
        <f t="shared" si="19"/>
        <v>4</v>
      </c>
      <c r="D364" s="29">
        <f t="shared" si="20"/>
        <v>2024</v>
      </c>
      <c r="E364" s="21">
        <f>[3]monthly!G460</f>
        <v>100.9310986965</v>
      </c>
      <c r="F364" s="52">
        <v>22401</v>
      </c>
      <c r="G364" s="52">
        <v>20669</v>
      </c>
      <c r="H364" s="23">
        <v>12758</v>
      </c>
      <c r="I364" s="23">
        <v>5875</v>
      </c>
      <c r="J364" s="13">
        <v>123.9</v>
      </c>
      <c r="K364" s="42">
        <v>509.4</v>
      </c>
      <c r="L364" s="23">
        <v>70.118095238095222</v>
      </c>
      <c r="M364" s="30">
        <v>96.08</v>
      </c>
      <c r="N364" s="30">
        <v>3.6176666666666661</v>
      </c>
      <c r="O364" s="12">
        <v>2354.1782608695653</v>
      </c>
      <c r="P364" s="12">
        <v>2392.9986956521739</v>
      </c>
      <c r="Q364" s="12">
        <v>19734.563809523806</v>
      </c>
      <c r="R364" s="12">
        <v>6010.9085714285711</v>
      </c>
      <c r="S364" s="34">
        <v>0.17</v>
      </c>
      <c r="T364" s="42">
        <v>177.3</v>
      </c>
      <c r="U364" s="42">
        <v>172.6</v>
      </c>
      <c r="V364" s="42">
        <v>116.9</v>
      </c>
      <c r="W364" s="42">
        <v>166.2</v>
      </c>
      <c r="X364" s="23">
        <f>[1]ישיר!D353/1000</f>
        <v>22473.903999999999</v>
      </c>
      <c r="Y364" s="23">
        <v>14101.416999999999</v>
      </c>
      <c r="AC364" s="60">
        <f>[2]monthly!AY461</f>
        <v>2.5490196078431372E-2</v>
      </c>
      <c r="AD364" s="60">
        <f>[2]monthly!AZ461</f>
        <v>0.80536004331348132</v>
      </c>
      <c r="AE364" s="60">
        <f>[2]monthly!BA461</f>
        <v>0.78483125789568664</v>
      </c>
      <c r="AF364" s="83">
        <v>11439.284102874959</v>
      </c>
      <c r="AG364" s="80">
        <v>4080.2114383415792</v>
      </c>
      <c r="AH364" s="64">
        <v>214570.02410000001</v>
      </c>
      <c r="AI364" s="4">
        <v>599</v>
      </c>
      <c r="AJ364" s="69">
        <v>509.7</v>
      </c>
      <c r="AK364" s="68">
        <v>105.1</v>
      </c>
      <c r="AL364" s="74">
        <v>100.04638637694403</v>
      </c>
      <c r="AM364" s="73">
        <v>58596</v>
      </c>
      <c r="AV364" s="68"/>
      <c r="AW364" s="68"/>
    </row>
    <row r="365" spans="1:49" ht="16.5" thickBot="1">
      <c r="A365" s="28">
        <v>45658</v>
      </c>
      <c r="B365" s="29">
        <f t="shared" ref="B365:B367" si="21">MONTH(A365)</f>
        <v>1</v>
      </c>
      <c r="C365" s="29">
        <f t="shared" ref="C365:C367" si="22">ROUNDUP(B365/3,0)</f>
        <v>1</v>
      </c>
      <c r="D365" s="29">
        <f t="shared" ref="D365:D367" si="23">YEAR(A365)</f>
        <v>2025</v>
      </c>
      <c r="E365" s="21">
        <f>[3]monthly!G461</f>
        <v>101.5</v>
      </c>
      <c r="F365" s="52">
        <v>41352</v>
      </c>
      <c r="G365" s="52">
        <v>20222</v>
      </c>
      <c r="H365" s="23">
        <v>16938</v>
      </c>
      <c r="I365" s="23">
        <v>1389</v>
      </c>
      <c r="J365" s="13">
        <v>123.4</v>
      </c>
      <c r="K365" s="42">
        <v>501.8</v>
      </c>
      <c r="L365" s="23">
        <v>75.912222222222226</v>
      </c>
      <c r="M365" s="30">
        <v>99.18</v>
      </c>
      <c r="N365" s="23">
        <v>3.6152727272727265</v>
      </c>
      <c r="O365" s="12">
        <v>2480.7736363636363</v>
      </c>
      <c r="P365" s="12">
        <v>2522.0186363636358</v>
      </c>
      <c r="Q365" s="12">
        <v>19565.044000000002</v>
      </c>
      <c r="R365" s="12">
        <v>5979.5155000000004</v>
      </c>
      <c r="S365" s="84">
        <v>0.18</v>
      </c>
      <c r="T365" s="42">
        <v>169.4</v>
      </c>
      <c r="U365" s="42">
        <v>169</v>
      </c>
      <c r="V365" s="42">
        <v>115.2</v>
      </c>
      <c r="W365" s="42">
        <v>162.9</v>
      </c>
      <c r="AC365" s="60">
        <f>[2]monthly!AY462</f>
        <v>2.4610061664666984E-2</v>
      </c>
      <c r="AD365" s="60">
        <f>[2]monthly!AZ462</f>
        <v>0.81114908448950951</v>
      </c>
      <c r="AE365" s="60">
        <f>[2]monthly!BA462</f>
        <v>0.79118665550098444</v>
      </c>
      <c r="AF365" s="83">
        <v>11115.75451687818</v>
      </c>
      <c r="AG365" s="80">
        <v>4082.3692435702997</v>
      </c>
      <c r="AH365" s="64">
        <v>216068.40040000001</v>
      </c>
      <c r="AI365" s="4">
        <v>606.20000000000005</v>
      </c>
      <c r="AJ365" s="69">
        <v>501.9</v>
      </c>
      <c r="AK365" s="68">
        <v>99.7</v>
      </c>
      <c r="AL365" s="74">
        <v>100.33261981270429</v>
      </c>
      <c r="AM365" s="73">
        <v>38784</v>
      </c>
      <c r="AV365" s="68"/>
      <c r="AW365" s="68"/>
    </row>
    <row r="366" spans="1:49" ht="16.5" thickBot="1">
      <c r="A366" s="28">
        <v>45689</v>
      </c>
      <c r="B366" s="29">
        <f t="shared" si="21"/>
        <v>2</v>
      </c>
      <c r="C366" s="29">
        <f t="shared" si="22"/>
        <v>1</v>
      </c>
      <c r="D366" s="29">
        <f t="shared" si="23"/>
        <v>2025</v>
      </c>
      <c r="E366" s="21">
        <f>[3]monthly!G462</f>
        <v>101.5</v>
      </c>
      <c r="F366" s="52">
        <v>23503</v>
      </c>
      <c r="G366" s="52">
        <v>14429</v>
      </c>
      <c r="H366" s="23">
        <v>10902</v>
      </c>
      <c r="I366" s="23">
        <v>1708</v>
      </c>
      <c r="J366" s="13">
        <v>128.69999999999999</v>
      </c>
      <c r="K366" s="42">
        <v>505.4</v>
      </c>
      <c r="L366" s="23">
        <v>71.533157894736831</v>
      </c>
      <c r="M366" s="23">
        <v>100.1</v>
      </c>
      <c r="N366" s="23">
        <v>3.5678000000000005</v>
      </c>
      <c r="O366" s="12">
        <v>2488.6150000000002</v>
      </c>
      <c r="P366" s="12">
        <v>2559.5564999999997</v>
      </c>
      <c r="Q366" s="12">
        <v>19547.281578947372</v>
      </c>
      <c r="R366" s="12">
        <v>6038.69</v>
      </c>
      <c r="S366" s="34">
        <v>0.18</v>
      </c>
      <c r="U366" s="85"/>
      <c r="V366" s="12"/>
      <c r="AC366" s="60">
        <f>[2]monthly!AY463</f>
        <v>2.6038627205780186E-2</v>
      </c>
      <c r="AD366" s="60">
        <f>[2]monthly!AZ463</f>
        <v>0.80692902791792798</v>
      </c>
      <c r="AE366" s="60">
        <f>[2]monthly!BA463</f>
        <v>0.78591770377845049</v>
      </c>
      <c r="AF366" s="83">
        <v>11228.715978190365</v>
      </c>
      <c r="AG366" s="80">
        <v>4063.8372047965499</v>
      </c>
      <c r="AH366" s="64">
        <v>220254.30069999999</v>
      </c>
      <c r="AJ366" s="69">
        <v>505.7</v>
      </c>
      <c r="AK366" s="68">
        <v>101.4</v>
      </c>
      <c r="AL366" s="74">
        <v>100.65703741399633</v>
      </c>
      <c r="AM366" s="73">
        <v>37152</v>
      </c>
      <c r="AV366" s="68"/>
      <c r="AW366" s="68"/>
    </row>
    <row r="367" spans="1:49">
      <c r="A367" s="28">
        <v>45717</v>
      </c>
      <c r="B367" s="29">
        <f t="shared" si="21"/>
        <v>3</v>
      </c>
      <c r="C367" s="29">
        <f t="shared" si="22"/>
        <v>1</v>
      </c>
      <c r="D367" s="29">
        <f t="shared" si="23"/>
        <v>2025</v>
      </c>
      <c r="E367" s="22">
        <f>[4]טבלה!$C222</f>
        <v>101.99999999999996</v>
      </c>
      <c r="F367" s="52">
        <v>22500</v>
      </c>
      <c r="G367" s="52">
        <v>17000</v>
      </c>
      <c r="H367" s="23">
        <v>12174</v>
      </c>
      <c r="I367" s="23">
        <v>2460</v>
      </c>
      <c r="L367" s="23">
        <v>67.316666666666677</v>
      </c>
      <c r="M367" s="23">
        <v>100.45</v>
      </c>
      <c r="N367" s="23">
        <v>3.6551</v>
      </c>
      <c r="O367" s="12">
        <f>[5]monthly!D463</f>
        <v>2476.2613636363644</v>
      </c>
      <c r="P367" s="12">
        <f>[5]monthly!E463</f>
        <v>2522.1377272727277</v>
      </c>
      <c r="Q367" s="12">
        <f>[5]monthly!F463</f>
        <v>17828.026666666665</v>
      </c>
      <c r="R367" s="12">
        <f>[5]monthly!G463</f>
        <v>5683.9833333333327</v>
      </c>
      <c r="S367" s="34">
        <v>0.18</v>
      </c>
      <c r="U367" s="85"/>
      <c r="V367" s="12"/>
      <c r="AJ367" s="69">
        <v>507</v>
      </c>
      <c r="AL367" s="74">
        <v>100.91033316076611</v>
      </c>
      <c r="AV367" s="68"/>
      <c r="AW367" s="68"/>
    </row>
    <row r="368" spans="1:49">
      <c r="A368" s="28">
        <v>45748</v>
      </c>
      <c r="M368" s="23">
        <v>96.9</v>
      </c>
      <c r="U368" s="61"/>
    </row>
    <row r="374" spans="23:24">
      <c r="W374" s="32"/>
      <c r="X374" s="32"/>
    </row>
    <row r="375" spans="23:24">
      <c r="W375" s="57"/>
      <c r="X375" s="58"/>
    </row>
    <row r="376" spans="23:24">
      <c r="W376" s="57"/>
      <c r="X376" s="58"/>
    </row>
    <row r="377" spans="23:24">
      <c r="W377" s="57"/>
      <c r="X377" s="58"/>
    </row>
    <row r="378" spans="23:24">
      <c r="W378" s="57"/>
      <c r="X378" s="58"/>
    </row>
    <row r="379" spans="23:24">
      <c r="W379" s="57"/>
      <c r="X379" s="58"/>
    </row>
    <row r="380" spans="23:24">
      <c r="W380" s="57"/>
      <c r="X380" s="58"/>
    </row>
    <row r="381" spans="23:24">
      <c r="W381" s="57"/>
      <c r="X381" s="58"/>
    </row>
    <row r="382" spans="23:24">
      <c r="W382" s="57"/>
      <c r="X382" s="58"/>
    </row>
    <row r="383" spans="23:24">
      <c r="W383" s="57"/>
      <c r="X383" s="58"/>
    </row>
    <row r="384" spans="23:24">
      <c r="W384" s="57"/>
      <c r="X384" s="58"/>
    </row>
    <row r="385" spans="23:36">
      <c r="W385" s="57"/>
      <c r="X385" s="58"/>
    </row>
    <row r="386" spans="23:36">
      <c r="W386" s="57"/>
      <c r="X386" s="58"/>
    </row>
    <row r="387" spans="23:36">
      <c r="W387" s="57"/>
      <c r="X387" s="58"/>
    </row>
    <row r="388" spans="23:36">
      <c r="W388" s="57"/>
      <c r="X388" s="58"/>
    </row>
    <row r="389" spans="23:36">
      <c r="W389" s="57"/>
      <c r="X389" s="58"/>
    </row>
    <row r="390" spans="23:36">
      <c r="W390" s="57"/>
      <c r="X390" s="58"/>
    </row>
    <row r="391" spans="23:36">
      <c r="W391" s="57"/>
      <c r="X391" s="58"/>
    </row>
    <row r="392" spans="23:36">
      <c r="W392" s="57"/>
      <c r="X392" s="58"/>
      <c r="AI392" s="65"/>
      <c r="AJ392" s="57"/>
    </row>
    <row r="393" spans="23:36">
      <c r="W393" s="57"/>
      <c r="X393" s="58"/>
      <c r="AI393" s="65"/>
      <c r="AJ393" s="57"/>
    </row>
    <row r="394" spans="23:36">
      <c r="W394" s="57"/>
      <c r="X394" s="58"/>
      <c r="AI394" s="65"/>
      <c r="AJ394" s="57"/>
    </row>
    <row r="395" spans="23:36">
      <c r="W395" s="57"/>
      <c r="X395" s="58"/>
      <c r="AI395" s="65"/>
      <c r="AJ395" s="57"/>
    </row>
    <row r="396" spans="23:36">
      <c r="W396" s="57"/>
      <c r="X396" s="58"/>
      <c r="AI396" s="65"/>
      <c r="AJ396" s="57"/>
    </row>
    <row r="397" spans="23:36">
      <c r="W397" s="57"/>
      <c r="X397" s="58"/>
      <c r="AI397" s="65"/>
      <c r="AJ397" s="57"/>
    </row>
    <row r="398" spans="23:36">
      <c r="W398" s="32"/>
      <c r="X398" s="33"/>
      <c r="AI398" s="65"/>
      <c r="AJ398" s="57"/>
    </row>
    <row r="399" spans="23:36">
      <c r="W399" s="32"/>
      <c r="X399" s="33"/>
      <c r="AI399" s="65"/>
      <c r="AJ399" s="57"/>
    </row>
    <row r="400" spans="23:36">
      <c r="W400" s="32"/>
      <c r="X400" s="33"/>
      <c r="AI400" s="66"/>
      <c r="AJ400" s="57"/>
    </row>
    <row r="401" spans="23:36">
      <c r="W401" s="32"/>
      <c r="X401" s="33"/>
      <c r="AI401" s="65"/>
      <c r="AJ401" s="57"/>
    </row>
    <row r="402" spans="23:36">
      <c r="W402" s="32"/>
      <c r="X402" s="33"/>
      <c r="AI402" s="65"/>
      <c r="AJ402" s="57"/>
    </row>
    <row r="403" spans="23:36">
      <c r="W403" s="32"/>
      <c r="X403" s="33"/>
      <c r="AI403" s="65"/>
      <c r="AJ403" s="57"/>
    </row>
    <row r="404" spans="23:36">
      <c r="W404" s="32"/>
      <c r="X404" s="33"/>
      <c r="AI404" s="65"/>
      <c r="AJ404" s="57"/>
    </row>
    <row r="405" spans="23:36">
      <c r="W405" s="32"/>
      <c r="X405" s="33"/>
      <c r="AI405" s="65"/>
      <c r="AJ405" s="57"/>
    </row>
    <row r="406" spans="23:36">
      <c r="W406" s="32"/>
      <c r="X406" s="33"/>
      <c r="AI406" s="65"/>
      <c r="AJ406" s="57"/>
    </row>
    <row r="407" spans="23:36">
      <c r="W407" s="32"/>
      <c r="X407" s="33"/>
      <c r="AI407" s="65"/>
      <c r="AJ407" s="57"/>
    </row>
    <row r="408" spans="23:36">
      <c r="W408" s="32"/>
      <c r="X408" s="33"/>
      <c r="AI408" s="65"/>
      <c r="AJ408" s="57"/>
    </row>
    <row r="409" spans="23:36">
      <c r="W409" s="32"/>
      <c r="X409" s="33"/>
      <c r="AI409" s="65"/>
      <c r="AJ409" s="57"/>
    </row>
    <row r="410" spans="23:36">
      <c r="W410" s="32"/>
      <c r="X410" s="33"/>
      <c r="AI410" s="65"/>
      <c r="AJ410" s="57"/>
    </row>
    <row r="411" spans="23:36">
      <c r="W411" s="32"/>
      <c r="X411" s="33"/>
      <c r="AI411" s="65"/>
      <c r="AJ411" s="57"/>
    </row>
    <row r="412" spans="23:36">
      <c r="W412" s="32"/>
      <c r="X412" s="33"/>
      <c r="AI412" s="65"/>
      <c r="AJ412" s="57"/>
    </row>
    <row r="413" spans="23:36">
      <c r="W413" s="32"/>
      <c r="X413" s="33"/>
      <c r="AI413" s="65"/>
      <c r="AJ413" s="57"/>
    </row>
    <row r="414" spans="23:36">
      <c r="W414" s="32"/>
      <c r="X414" s="33"/>
      <c r="AI414" s="65"/>
      <c r="AJ414" s="57"/>
    </row>
    <row r="415" spans="23:36">
      <c r="W415" s="32"/>
      <c r="X415" s="33"/>
      <c r="AI415" s="65"/>
      <c r="AJ415" s="57"/>
    </row>
    <row r="416" spans="23:36">
      <c r="W416" s="32"/>
      <c r="X416" s="33"/>
      <c r="AI416" s="65"/>
      <c r="AJ416" s="57"/>
    </row>
    <row r="417" spans="23:36">
      <c r="W417" s="32"/>
      <c r="X417" s="33"/>
      <c r="AI417" s="65"/>
      <c r="AJ417" s="57"/>
    </row>
    <row r="418" spans="23:36">
      <c r="W418" s="32"/>
      <c r="X418" s="33"/>
      <c r="AI418" s="65"/>
      <c r="AJ418" s="57"/>
    </row>
    <row r="419" spans="23:36">
      <c r="W419" s="32"/>
      <c r="X419" s="33"/>
      <c r="AI419" s="65"/>
      <c r="AJ419" s="57"/>
    </row>
    <row r="420" spans="23:36">
      <c r="W420" s="32"/>
      <c r="X420" s="33"/>
      <c r="AI420" s="65"/>
      <c r="AJ420" s="57"/>
    </row>
    <row r="421" spans="23:36">
      <c r="W421" s="32"/>
      <c r="X421" s="33"/>
      <c r="AI421" s="65"/>
      <c r="AJ421" s="57"/>
    </row>
    <row r="422" spans="23:36">
      <c r="W422" s="32"/>
      <c r="X422" s="33"/>
      <c r="AI422" s="65"/>
      <c r="AJ422" s="57"/>
    </row>
    <row r="423" spans="23:36">
      <c r="W423" s="32"/>
      <c r="X423" s="33"/>
      <c r="AI423" s="65"/>
      <c r="AJ423" s="57"/>
    </row>
    <row r="424" spans="23:36">
      <c r="W424" s="32"/>
      <c r="X424" s="33"/>
      <c r="AI424" s="65"/>
      <c r="AJ424" s="57"/>
    </row>
    <row r="425" spans="23:36">
      <c r="W425" s="32"/>
      <c r="X425" s="33"/>
      <c r="AI425" s="65"/>
      <c r="AJ425" s="57"/>
    </row>
    <row r="426" spans="23:36">
      <c r="W426" s="32"/>
      <c r="X426" s="33"/>
      <c r="AI426" s="65"/>
      <c r="AJ426" s="57"/>
    </row>
    <row r="427" spans="23:36">
      <c r="W427" s="32"/>
      <c r="X427" s="33"/>
      <c r="AI427" s="65"/>
      <c r="AJ427" s="57"/>
    </row>
    <row r="428" spans="23:36">
      <c r="W428" s="32"/>
      <c r="X428" s="33"/>
      <c r="AI428" s="65"/>
      <c r="AJ428" s="57"/>
    </row>
    <row r="429" spans="23:36">
      <c r="W429" s="32"/>
      <c r="X429" s="33"/>
      <c r="AI429" s="65"/>
      <c r="AJ429" s="57"/>
    </row>
    <row r="430" spans="23:36">
      <c r="W430" s="32"/>
      <c r="X430" s="33"/>
      <c r="AI430" s="65"/>
      <c r="AJ430" s="57"/>
    </row>
    <row r="431" spans="23:36">
      <c r="W431" s="32"/>
      <c r="X431" s="33"/>
      <c r="AI431" s="65"/>
      <c r="AJ431" s="57"/>
    </row>
    <row r="432" spans="23:36">
      <c r="W432" s="32"/>
      <c r="X432" s="33"/>
      <c r="AI432" s="65"/>
      <c r="AJ432" s="57"/>
    </row>
    <row r="433" spans="23:36">
      <c r="W433" s="32"/>
      <c r="X433" s="33"/>
      <c r="AI433" s="65"/>
      <c r="AJ433" s="57"/>
    </row>
    <row r="434" spans="23:36">
      <c r="W434" s="32"/>
      <c r="X434" s="33"/>
      <c r="AI434" s="65"/>
      <c r="AJ434" s="57"/>
    </row>
    <row r="435" spans="23:36">
      <c r="W435" s="32"/>
      <c r="X435" s="33"/>
      <c r="AI435" s="65"/>
      <c r="AJ435" s="57"/>
    </row>
    <row r="436" spans="23:36">
      <c r="W436" s="32"/>
      <c r="X436" s="33"/>
      <c r="AI436" s="65"/>
      <c r="AJ436" s="57"/>
    </row>
    <row r="437" spans="23:36">
      <c r="W437" s="32"/>
      <c r="X437" s="33"/>
      <c r="AI437" s="65"/>
      <c r="AJ437" s="57"/>
    </row>
    <row r="438" spans="23:36">
      <c r="W438" s="32"/>
      <c r="X438" s="33"/>
      <c r="AI438" s="65"/>
      <c r="AJ438" s="57"/>
    </row>
    <row r="439" spans="23:36">
      <c r="W439" s="32"/>
      <c r="X439" s="33"/>
      <c r="AI439" s="65"/>
      <c r="AJ439" s="57"/>
    </row>
    <row r="440" spans="23:36">
      <c r="W440" s="32"/>
      <c r="X440" s="33"/>
      <c r="AI440" s="65"/>
      <c r="AJ440" s="57"/>
    </row>
    <row r="441" spans="23:36">
      <c r="W441" s="32"/>
      <c r="X441" s="33"/>
      <c r="AI441" s="65"/>
      <c r="AJ441" s="57"/>
    </row>
    <row r="442" spans="23:36">
      <c r="W442" s="32"/>
      <c r="X442" s="33"/>
      <c r="AI442" s="65"/>
      <c r="AJ442" s="57"/>
    </row>
    <row r="443" spans="23:36">
      <c r="W443" s="32"/>
      <c r="X443" s="33"/>
      <c r="AI443" s="65"/>
      <c r="AJ443" s="57"/>
    </row>
    <row r="444" spans="23:36">
      <c r="W444" s="32"/>
      <c r="X444" s="33"/>
      <c r="AI444" s="65"/>
      <c r="AJ444" s="57"/>
    </row>
    <row r="445" spans="23:36">
      <c r="W445" s="32"/>
      <c r="X445" s="33"/>
      <c r="AI445" s="65"/>
      <c r="AJ445" s="57"/>
    </row>
    <row r="446" spans="23:36">
      <c r="W446" s="32"/>
      <c r="X446" s="33"/>
      <c r="AI446" s="65"/>
      <c r="AJ446" s="57"/>
    </row>
    <row r="447" spans="23:36">
      <c r="W447" s="32"/>
      <c r="X447" s="33"/>
      <c r="AI447" s="65"/>
      <c r="AJ447" s="57"/>
    </row>
    <row r="448" spans="23:36">
      <c r="W448" s="32"/>
      <c r="X448" s="33"/>
      <c r="AI448" s="65"/>
      <c r="AJ448" s="57"/>
    </row>
    <row r="449" spans="23:36">
      <c r="W449" s="32"/>
      <c r="X449" s="33"/>
      <c r="AI449" s="65"/>
      <c r="AJ449" s="57"/>
    </row>
    <row r="450" spans="23:36">
      <c r="W450" s="32"/>
      <c r="X450" s="33"/>
      <c r="AI450" s="65"/>
      <c r="AJ450" s="57"/>
    </row>
    <row r="451" spans="23:36">
      <c r="W451" s="32"/>
      <c r="X451" s="33"/>
      <c r="AI451" s="65"/>
      <c r="AJ451" s="57"/>
    </row>
    <row r="452" spans="23:36">
      <c r="W452" s="32"/>
      <c r="X452" s="33"/>
      <c r="AI452" s="65"/>
      <c r="AJ452" s="57"/>
    </row>
    <row r="453" spans="23:36">
      <c r="W453" s="32"/>
      <c r="X453" s="33"/>
      <c r="AI453" s="65"/>
      <c r="AJ453" s="57"/>
    </row>
    <row r="454" spans="23:36">
      <c r="W454" s="32"/>
      <c r="X454" s="33"/>
      <c r="AI454" s="65"/>
      <c r="AJ454" s="57"/>
    </row>
    <row r="455" spans="23:36">
      <c r="W455" s="32"/>
      <c r="X455" s="33"/>
      <c r="AI455" s="65"/>
      <c r="AJ455" s="57"/>
    </row>
    <row r="456" spans="23:36">
      <c r="W456" s="32"/>
      <c r="X456" s="33"/>
      <c r="AI456" s="65"/>
      <c r="AJ456" s="57"/>
    </row>
    <row r="457" spans="23:36">
      <c r="W457" s="32"/>
      <c r="X457" s="33"/>
      <c r="AI457" s="65"/>
      <c r="AJ457" s="57"/>
    </row>
    <row r="458" spans="23:36">
      <c r="W458" s="32"/>
      <c r="X458" s="33"/>
      <c r="AI458" s="65"/>
      <c r="AJ458" s="57"/>
    </row>
    <row r="459" spans="23:36">
      <c r="W459" s="32"/>
      <c r="X459" s="33"/>
      <c r="AI459" s="65"/>
      <c r="AJ459" s="57"/>
    </row>
    <row r="460" spans="23:36">
      <c r="W460" s="32"/>
      <c r="X460" s="33"/>
      <c r="AI460" s="65"/>
      <c r="AJ460" s="57"/>
    </row>
    <row r="461" spans="23:36">
      <c r="W461" s="32"/>
      <c r="X461" s="33"/>
      <c r="AI461" s="65"/>
      <c r="AJ461" s="57"/>
    </row>
    <row r="462" spans="23:36">
      <c r="W462" s="32"/>
      <c r="X462" s="33"/>
      <c r="AI462" s="65"/>
      <c r="AJ462" s="57"/>
    </row>
    <row r="463" spans="23:36">
      <c r="W463" s="32"/>
      <c r="X463" s="33"/>
      <c r="AI463" s="65"/>
      <c r="AJ463" s="57"/>
    </row>
    <row r="464" spans="23:36">
      <c r="W464" s="32"/>
      <c r="X464" s="33"/>
      <c r="AI464" s="65"/>
      <c r="AJ464" s="57"/>
    </row>
    <row r="465" spans="23:36">
      <c r="W465" s="32"/>
      <c r="X465" s="33"/>
      <c r="AI465" s="65"/>
      <c r="AJ465" s="57"/>
    </row>
    <row r="466" spans="23:36">
      <c r="W466" s="32"/>
      <c r="X466" s="33"/>
      <c r="AI466" s="65"/>
      <c r="AJ466" s="57"/>
    </row>
    <row r="467" spans="23:36">
      <c r="W467" s="32"/>
      <c r="X467" s="33"/>
      <c r="AI467" s="65"/>
      <c r="AJ467" s="57"/>
    </row>
    <row r="468" spans="23:36">
      <c r="W468" s="32"/>
      <c r="X468" s="33"/>
      <c r="AI468" s="65"/>
      <c r="AJ468" s="57"/>
    </row>
    <row r="469" spans="23:36">
      <c r="W469" s="32"/>
      <c r="X469" s="33"/>
      <c r="AI469" s="65"/>
      <c r="AJ469" s="57"/>
    </row>
    <row r="470" spans="23:36">
      <c r="W470" s="32"/>
      <c r="X470" s="33"/>
      <c r="AI470" s="65"/>
      <c r="AJ470" s="57"/>
    </row>
    <row r="471" spans="23:36">
      <c r="W471" s="32"/>
      <c r="X471" s="33"/>
      <c r="AI471" s="65"/>
      <c r="AJ471" s="57"/>
    </row>
    <row r="472" spans="23:36">
      <c r="W472" s="32"/>
      <c r="X472" s="33"/>
      <c r="AI472" s="65"/>
      <c r="AJ472" s="57"/>
    </row>
    <row r="473" spans="23:36">
      <c r="W473" s="32"/>
      <c r="X473" s="33"/>
      <c r="AI473" s="65"/>
      <c r="AJ473" s="57"/>
    </row>
    <row r="474" spans="23:36">
      <c r="W474" s="32"/>
      <c r="X474" s="33"/>
      <c r="AI474" s="65"/>
      <c r="AJ474" s="57"/>
    </row>
    <row r="475" spans="23:36">
      <c r="W475" s="32"/>
      <c r="X475" s="33"/>
      <c r="AI475" s="65"/>
      <c r="AJ475" s="57"/>
    </row>
    <row r="476" spans="23:36">
      <c r="W476" s="32"/>
      <c r="X476" s="33"/>
      <c r="AI476" s="65"/>
      <c r="AJ476" s="57"/>
    </row>
    <row r="477" spans="23:36">
      <c r="W477" s="32"/>
      <c r="X477" s="33"/>
      <c r="AI477" s="65"/>
      <c r="AJ477" s="57"/>
    </row>
    <row r="478" spans="23:36">
      <c r="W478" s="32"/>
      <c r="X478" s="33"/>
      <c r="AI478" s="65"/>
      <c r="AJ478" s="57"/>
    </row>
    <row r="479" spans="23:36">
      <c r="W479" s="32"/>
      <c r="X479" s="33"/>
      <c r="AI479" s="65"/>
      <c r="AJ479" s="57"/>
    </row>
    <row r="480" spans="23:36">
      <c r="W480" s="32"/>
      <c r="X480" s="33"/>
      <c r="AI480" s="65"/>
      <c r="AJ480" s="57"/>
    </row>
    <row r="481" spans="23:36">
      <c r="W481" s="32"/>
      <c r="X481" s="33"/>
      <c r="AI481" s="65"/>
      <c r="AJ481" s="57"/>
    </row>
    <row r="482" spans="23:36">
      <c r="W482" s="32"/>
      <c r="X482" s="33"/>
      <c r="AI482" s="65"/>
      <c r="AJ482" s="57"/>
    </row>
    <row r="483" spans="23:36">
      <c r="W483" s="32"/>
      <c r="X483" s="33"/>
      <c r="AI483" s="65"/>
      <c r="AJ483" s="57"/>
    </row>
    <row r="484" spans="23:36">
      <c r="W484" s="32"/>
      <c r="X484" s="33"/>
      <c r="AI484" s="65"/>
      <c r="AJ484" s="57"/>
    </row>
    <row r="485" spans="23:36">
      <c r="W485" s="32"/>
      <c r="X485" s="33"/>
      <c r="AI485" s="65"/>
      <c r="AJ485" s="57"/>
    </row>
    <row r="486" spans="23:36">
      <c r="W486" s="32"/>
      <c r="X486" s="33"/>
      <c r="AI486" s="65"/>
      <c r="AJ486" s="57"/>
    </row>
    <row r="487" spans="23:36">
      <c r="W487" s="32"/>
      <c r="X487" s="33"/>
      <c r="AI487" s="65"/>
      <c r="AJ487" s="57"/>
    </row>
    <row r="488" spans="23:36">
      <c r="W488" s="32"/>
      <c r="X488" s="33"/>
      <c r="AI488" s="65"/>
      <c r="AJ488" s="57"/>
    </row>
    <row r="489" spans="23:36">
      <c r="W489" s="32"/>
      <c r="X489" s="33"/>
      <c r="AI489" s="65"/>
      <c r="AJ489" s="57"/>
    </row>
    <row r="490" spans="23:36">
      <c r="W490" s="32"/>
      <c r="X490" s="33"/>
    </row>
    <row r="491" spans="23:36">
      <c r="W491" s="32"/>
      <c r="X491" s="33"/>
    </row>
    <row r="492" spans="23:36">
      <c r="W492" s="32"/>
      <c r="X492" s="33"/>
    </row>
    <row r="493" spans="23:36">
      <c r="W493" s="32"/>
      <c r="X493" s="33"/>
    </row>
    <row r="494" spans="23:36">
      <c r="W494" s="32"/>
      <c r="X494" s="33"/>
    </row>
    <row r="495" spans="23:36">
      <c r="W495" s="32"/>
      <c r="X495" s="33"/>
    </row>
    <row r="496" spans="23:36">
      <c r="W496" s="32"/>
      <c r="X496" s="33"/>
    </row>
    <row r="497" spans="23:24">
      <c r="W497" s="32"/>
      <c r="X497" s="33"/>
    </row>
    <row r="498" spans="23:24">
      <c r="W498" s="32"/>
      <c r="X498" s="33"/>
    </row>
    <row r="499" spans="23:24">
      <c r="W499" s="32"/>
      <c r="X499" s="33"/>
    </row>
    <row r="500" spans="23:24">
      <c r="W500" s="32"/>
      <c r="X500" s="33"/>
    </row>
    <row r="501" spans="23:24">
      <c r="W501" s="32"/>
      <c r="X501" s="33"/>
    </row>
    <row r="502" spans="23:24">
      <c r="W502" s="32"/>
      <c r="X502" s="33"/>
    </row>
    <row r="503" spans="23:24">
      <c r="W503" s="32"/>
      <c r="X503" s="33"/>
    </row>
    <row r="504" spans="23:24">
      <c r="W504" s="32"/>
      <c r="X504" s="33"/>
    </row>
    <row r="505" spans="23:24">
      <c r="W505" s="32"/>
      <c r="X505" s="33"/>
    </row>
    <row r="506" spans="23:24">
      <c r="W506" s="32"/>
      <c r="X506" s="33"/>
    </row>
    <row r="507" spans="23:24">
      <c r="W507" s="32"/>
      <c r="X507" s="59"/>
    </row>
    <row r="508" spans="23:24">
      <c r="W508" s="32"/>
      <c r="X508" s="33"/>
    </row>
    <row r="509" spans="23:24">
      <c r="W509" s="32"/>
      <c r="X509" s="33"/>
    </row>
    <row r="510" spans="23:24">
      <c r="W510" s="32"/>
      <c r="X510" s="33"/>
    </row>
    <row r="511" spans="23:24">
      <c r="W511" s="32"/>
      <c r="X511" s="33"/>
    </row>
    <row r="512" spans="23:24">
      <c r="W512" s="32"/>
      <c r="X512" s="33"/>
    </row>
    <row r="513" spans="23:24">
      <c r="W513" s="32"/>
      <c r="X513" s="33"/>
    </row>
    <row r="514" spans="23:24">
      <c r="W514" s="32"/>
      <c r="X514" s="33"/>
    </row>
    <row r="515" spans="23:24">
      <c r="W515" s="32"/>
      <c r="X515" s="33"/>
    </row>
    <row r="516" spans="23:24">
      <c r="W516" s="32"/>
      <c r="X516" s="33"/>
    </row>
    <row r="517" spans="23:24">
      <c r="W517" s="32"/>
      <c r="X517" s="33"/>
    </row>
    <row r="518" spans="23:24">
      <c r="W518" s="32"/>
      <c r="X518" s="33"/>
    </row>
    <row r="519" spans="23:24">
      <c r="W519" s="32"/>
      <c r="X519" s="33"/>
    </row>
    <row r="520" spans="23:24">
      <c r="W520" s="32"/>
      <c r="X520" s="33"/>
    </row>
    <row r="521" spans="23:24">
      <c r="W521" s="32"/>
      <c r="X521" s="33"/>
    </row>
    <row r="522" spans="23:24">
      <c r="W522" s="32"/>
      <c r="X522" s="33"/>
    </row>
    <row r="523" spans="23:24">
      <c r="W523" s="32"/>
      <c r="X523" s="33"/>
    </row>
    <row r="524" spans="23:24">
      <c r="W524" s="32"/>
      <c r="X524" s="33"/>
    </row>
    <row r="525" spans="23:24">
      <c r="W525" s="32"/>
      <c r="X525" s="33"/>
    </row>
    <row r="526" spans="23:24">
      <c r="W526" s="32"/>
      <c r="X526" s="33"/>
    </row>
    <row r="527" spans="23:24">
      <c r="W527" s="32"/>
      <c r="X527" s="33"/>
    </row>
    <row r="528" spans="23:24">
      <c r="W528" s="32"/>
      <c r="X528" s="33"/>
    </row>
    <row r="529" spans="23:24">
      <c r="W529" s="32"/>
      <c r="X529" s="33"/>
    </row>
    <row r="530" spans="23:24">
      <c r="W530" s="32"/>
      <c r="X530" s="33"/>
    </row>
    <row r="531" spans="23:24">
      <c r="W531" s="32"/>
      <c r="X531" s="33"/>
    </row>
    <row r="532" spans="23:24">
      <c r="W532" s="32"/>
      <c r="X532" s="33"/>
    </row>
    <row r="533" spans="23:24">
      <c r="W533" s="32"/>
      <c r="X533" s="33"/>
    </row>
    <row r="534" spans="23:24">
      <c r="W534" s="32"/>
      <c r="X534" s="33"/>
    </row>
    <row r="535" spans="23:24">
      <c r="W535" s="32"/>
      <c r="X535" s="33"/>
    </row>
    <row r="536" spans="23:24">
      <c r="W536" s="32"/>
      <c r="X536" s="33"/>
    </row>
    <row r="537" spans="23:24">
      <c r="W537" s="32"/>
      <c r="X537" s="33"/>
    </row>
    <row r="538" spans="23:24">
      <c r="W538" s="32"/>
      <c r="X538" s="33"/>
    </row>
    <row r="539" spans="23:24">
      <c r="W539" s="32"/>
      <c r="X539" s="33"/>
    </row>
    <row r="540" spans="23:24">
      <c r="W540" s="32"/>
      <c r="X540" s="33"/>
    </row>
    <row r="541" spans="23:24">
      <c r="W541" s="32"/>
      <c r="X541" s="33"/>
    </row>
    <row r="542" spans="23:24">
      <c r="W542" s="32"/>
      <c r="X542" s="33"/>
    </row>
    <row r="543" spans="23:24">
      <c r="W543" s="32"/>
      <c r="X543" s="33"/>
    </row>
    <row r="544" spans="23:24">
      <c r="W544" s="32"/>
      <c r="X544" s="33"/>
    </row>
    <row r="545" spans="23:24">
      <c r="W545" s="32"/>
      <c r="X545" s="33"/>
    </row>
    <row r="546" spans="23:24">
      <c r="W546" s="32"/>
      <c r="X546" s="33"/>
    </row>
    <row r="547" spans="23:24">
      <c r="W547" s="32"/>
      <c r="X547" s="33"/>
    </row>
    <row r="548" spans="23:24">
      <c r="W548" s="32"/>
      <c r="X548" s="33"/>
    </row>
    <row r="549" spans="23:24">
      <c r="W549" s="32"/>
      <c r="X549" s="33"/>
    </row>
    <row r="550" spans="23:24">
      <c r="W550" s="32"/>
      <c r="X550" s="33"/>
    </row>
    <row r="551" spans="23:24">
      <c r="W551" s="32"/>
      <c r="X551" s="33"/>
    </row>
    <row r="552" spans="23:24">
      <c r="W552" s="32"/>
      <c r="X552" s="33"/>
    </row>
    <row r="553" spans="23:24">
      <c r="W553" s="32"/>
      <c r="X553" s="33"/>
    </row>
    <row r="554" spans="23:24">
      <c r="W554" s="32"/>
      <c r="X554" s="33"/>
    </row>
    <row r="555" spans="23:24">
      <c r="W555" s="32"/>
      <c r="X555" s="33"/>
    </row>
    <row r="556" spans="23:24">
      <c r="W556" s="32"/>
      <c r="X556" s="33"/>
    </row>
    <row r="557" spans="23:24">
      <c r="W557" s="32"/>
      <c r="X557" s="33"/>
    </row>
    <row r="558" spans="23:24">
      <c r="W558" s="32"/>
      <c r="X558" s="33"/>
    </row>
    <row r="559" spans="23:24">
      <c r="W559" s="32"/>
      <c r="X559" s="33"/>
    </row>
    <row r="560" spans="23:24">
      <c r="W560" s="32"/>
      <c r="X560" s="33"/>
    </row>
    <row r="561" spans="23:24">
      <c r="W561" s="32"/>
      <c r="X561" s="33"/>
    </row>
    <row r="562" spans="23:24">
      <c r="W562" s="32"/>
      <c r="X562" s="33"/>
    </row>
    <row r="563" spans="23:24">
      <c r="W563" s="32"/>
      <c r="X563" s="33"/>
    </row>
    <row r="564" spans="23:24">
      <c r="W564" s="32"/>
      <c r="X564" s="33"/>
    </row>
    <row r="565" spans="23:24">
      <c r="W565" s="32"/>
      <c r="X565" s="33"/>
    </row>
    <row r="566" spans="23:24">
      <c r="W566" s="32"/>
      <c r="X566" s="33"/>
    </row>
    <row r="567" spans="23:24">
      <c r="W567" s="32"/>
      <c r="X567" s="33"/>
    </row>
    <row r="568" spans="23:24">
      <c r="W568" s="32"/>
      <c r="X568" s="33"/>
    </row>
    <row r="569" spans="23:24">
      <c r="W569" s="32"/>
      <c r="X569" s="33"/>
    </row>
    <row r="570" spans="23:24">
      <c r="W570" s="32"/>
      <c r="X570" s="33"/>
    </row>
    <row r="571" spans="23:24">
      <c r="W571" s="32"/>
      <c r="X571" s="33"/>
    </row>
    <row r="572" spans="23:24">
      <c r="W572" s="32"/>
      <c r="X572" s="33"/>
    </row>
    <row r="573" spans="23:24">
      <c r="W573" s="32"/>
      <c r="X573" s="33"/>
    </row>
    <row r="574" spans="23:24">
      <c r="W574" s="32"/>
      <c r="X574" s="33"/>
    </row>
    <row r="575" spans="23:24">
      <c r="W575" s="32"/>
      <c r="X575" s="33"/>
    </row>
    <row r="576" spans="23:24">
      <c r="W576" s="32"/>
      <c r="X576" s="33"/>
    </row>
    <row r="577" spans="23:24">
      <c r="W577" s="32"/>
      <c r="X577" s="33"/>
    </row>
    <row r="578" spans="23:24">
      <c r="W578" s="32"/>
      <c r="X578" s="33"/>
    </row>
    <row r="579" spans="23:24">
      <c r="W579" s="32"/>
      <c r="X579" s="33"/>
    </row>
    <row r="580" spans="23:24">
      <c r="W580" s="32"/>
      <c r="X580" s="33"/>
    </row>
    <row r="581" spans="23:24">
      <c r="W581" s="32"/>
      <c r="X581" s="33"/>
    </row>
    <row r="582" spans="23:24">
      <c r="W582" s="32"/>
      <c r="X582" s="33"/>
    </row>
    <row r="583" spans="23:24">
      <c r="W583" s="32"/>
      <c r="X583" s="33"/>
    </row>
    <row r="584" spans="23:24">
      <c r="W584" s="32"/>
      <c r="X584" s="33"/>
    </row>
    <row r="585" spans="23:24">
      <c r="W585" s="32"/>
      <c r="X585" s="33"/>
    </row>
    <row r="586" spans="23:24">
      <c r="W586" s="32"/>
      <c r="X586" s="33"/>
    </row>
    <row r="587" spans="23:24">
      <c r="W587" s="32"/>
      <c r="X587" s="33"/>
    </row>
    <row r="588" spans="23:24">
      <c r="W588" s="32"/>
      <c r="X588" s="33"/>
    </row>
    <row r="589" spans="23:24">
      <c r="W589" s="32"/>
      <c r="X589" s="33"/>
    </row>
    <row r="590" spans="23:24">
      <c r="W590" s="32"/>
      <c r="X590" s="33"/>
    </row>
    <row r="591" spans="23:24">
      <c r="W591" s="32"/>
      <c r="X591" s="33"/>
    </row>
    <row r="592" spans="23:24">
      <c r="W592" s="32"/>
      <c r="X592" s="33"/>
    </row>
    <row r="593" spans="23:24">
      <c r="W593" s="32"/>
      <c r="X593" s="33"/>
    </row>
    <row r="594" spans="23:24">
      <c r="W594" s="32"/>
      <c r="X594" s="33"/>
    </row>
    <row r="595" spans="23:24">
      <c r="W595" s="32"/>
      <c r="X595" s="33"/>
    </row>
    <row r="596" spans="23:24">
      <c r="W596" s="32"/>
      <c r="X596" s="33"/>
    </row>
    <row r="597" spans="23:24">
      <c r="W597" s="32"/>
      <c r="X597" s="33"/>
    </row>
    <row r="598" spans="23:24">
      <c r="W598" s="32"/>
      <c r="X598" s="33"/>
    </row>
    <row r="599" spans="23:24">
      <c r="W599" s="32"/>
      <c r="X599" s="33"/>
    </row>
    <row r="600" spans="23:24">
      <c r="W600" s="32"/>
      <c r="X600" s="33"/>
    </row>
    <row r="601" spans="23:24">
      <c r="W601" s="32"/>
      <c r="X601" s="33"/>
    </row>
    <row r="602" spans="23:24">
      <c r="W602" s="32"/>
      <c r="X602" s="33"/>
    </row>
    <row r="603" spans="23:24">
      <c r="W603" s="32"/>
      <c r="X603" s="33"/>
    </row>
    <row r="604" spans="23:24">
      <c r="W604" s="32"/>
      <c r="X604" s="33"/>
    </row>
    <row r="605" spans="23:24">
      <c r="W605" s="32"/>
      <c r="X605" s="33"/>
    </row>
    <row r="606" spans="23:24">
      <c r="W606" s="32"/>
      <c r="X606" s="33"/>
    </row>
    <row r="607" spans="23:24">
      <c r="W607" s="32"/>
      <c r="X607" s="33"/>
    </row>
    <row r="608" spans="23:24">
      <c r="W608" s="32"/>
      <c r="X608" s="33"/>
    </row>
    <row r="609" spans="23:24">
      <c r="W609" s="32"/>
      <c r="X609" s="33"/>
    </row>
    <row r="610" spans="23:24">
      <c r="W610" s="32"/>
      <c r="X610" s="33"/>
    </row>
    <row r="611" spans="23:24">
      <c r="W611" s="32"/>
      <c r="X611" s="33"/>
    </row>
    <row r="612" spans="23:24">
      <c r="W612" s="32"/>
      <c r="X612" s="33"/>
    </row>
    <row r="613" spans="23:24">
      <c r="W613" s="32"/>
      <c r="X613" s="33"/>
    </row>
    <row r="614" spans="23:24">
      <c r="W614" s="32"/>
      <c r="X614" s="33"/>
    </row>
    <row r="615" spans="23:24">
      <c r="W615" s="32"/>
      <c r="X615" s="33"/>
    </row>
    <row r="616" spans="23:24">
      <c r="W616" s="32"/>
      <c r="X616" s="33"/>
    </row>
    <row r="617" spans="23:24">
      <c r="W617" s="32"/>
      <c r="X617" s="33"/>
    </row>
    <row r="618" spans="23:24">
      <c r="W618" s="32"/>
      <c r="X618" s="33"/>
    </row>
    <row r="619" spans="23:24">
      <c r="W619" s="32"/>
      <c r="X619" s="33"/>
    </row>
    <row r="620" spans="23:24">
      <c r="W620" s="32"/>
      <c r="X620" s="33"/>
    </row>
    <row r="621" spans="23:24">
      <c r="W621" s="32"/>
      <c r="X621" s="33"/>
    </row>
    <row r="622" spans="23:24">
      <c r="W622" s="32"/>
      <c r="X622" s="33"/>
    </row>
    <row r="623" spans="23:24">
      <c r="W623" s="32"/>
      <c r="X623" s="33"/>
    </row>
    <row r="624" spans="23:24">
      <c r="W624" s="32"/>
      <c r="X624" s="33"/>
    </row>
    <row r="625" spans="23:24">
      <c r="W625" s="32"/>
      <c r="X625" s="33"/>
    </row>
    <row r="626" spans="23:24">
      <c r="W626" s="32"/>
      <c r="X626" s="33"/>
    </row>
    <row r="627" spans="23:24">
      <c r="W627" s="32"/>
      <c r="X627" s="33"/>
    </row>
    <row r="628" spans="23:24">
      <c r="W628" s="32"/>
      <c r="X628" s="33"/>
    </row>
    <row r="629" spans="23:24">
      <c r="W629" s="32"/>
      <c r="X629" s="33"/>
    </row>
    <row r="630" spans="23:24">
      <c r="W630" s="32"/>
      <c r="X630" s="33"/>
    </row>
    <row r="631" spans="23:24">
      <c r="W631" s="32"/>
      <c r="X631" s="33"/>
    </row>
    <row r="632" spans="23:24">
      <c r="W632" s="32"/>
      <c r="X632" s="33"/>
    </row>
    <row r="633" spans="23:24">
      <c r="W633" s="32"/>
      <c r="X633" s="33"/>
    </row>
    <row r="634" spans="23:24">
      <c r="W634" s="32"/>
      <c r="X634" s="33"/>
    </row>
    <row r="635" spans="23:24">
      <c r="W635" s="32"/>
      <c r="X635" s="33"/>
    </row>
    <row r="636" spans="23:24">
      <c r="W636" s="32"/>
      <c r="X636" s="33"/>
    </row>
    <row r="637" spans="23:24">
      <c r="W637" s="32"/>
      <c r="X637" s="33"/>
    </row>
    <row r="638" spans="23:24">
      <c r="W638" s="32"/>
      <c r="X638" s="33"/>
    </row>
    <row r="639" spans="23:24">
      <c r="W639" s="32"/>
      <c r="X639" s="33"/>
    </row>
    <row r="640" spans="23:24">
      <c r="W640" s="32"/>
      <c r="X640" s="33"/>
    </row>
    <row r="641" spans="23:24">
      <c r="W641" s="32"/>
      <c r="X641" s="33"/>
    </row>
    <row r="642" spans="23:24">
      <c r="W642" s="32"/>
      <c r="X642" s="33"/>
    </row>
    <row r="643" spans="23:24">
      <c r="W643" s="32"/>
      <c r="X643" s="33"/>
    </row>
    <row r="644" spans="23:24">
      <c r="W644" s="32"/>
      <c r="X644" s="33"/>
    </row>
    <row r="645" spans="23:24">
      <c r="W645" s="32"/>
      <c r="X645" s="33"/>
    </row>
    <row r="646" spans="23:24">
      <c r="W646" s="32"/>
      <c r="X646" s="33"/>
    </row>
    <row r="647" spans="23:24">
      <c r="W647" s="32"/>
      <c r="X647" s="33"/>
    </row>
    <row r="648" spans="23:24">
      <c r="W648" s="32"/>
      <c r="X648" s="33"/>
    </row>
    <row r="649" spans="23:24">
      <c r="W649" s="32"/>
      <c r="X649" s="33"/>
    </row>
    <row r="650" spans="23:24">
      <c r="W650" s="32"/>
      <c r="X650" s="33"/>
    </row>
    <row r="651" spans="23:24">
      <c r="W651" s="32"/>
      <c r="X651" s="33"/>
    </row>
    <row r="652" spans="23:24">
      <c r="W652" s="32"/>
      <c r="X652" s="33"/>
    </row>
    <row r="653" spans="23:24">
      <c r="W653" s="32"/>
      <c r="X653" s="33"/>
    </row>
    <row r="654" spans="23:24">
      <c r="W654" s="32"/>
      <c r="X654" s="33"/>
    </row>
    <row r="655" spans="23:24">
      <c r="W655" s="32"/>
      <c r="X655" s="33"/>
    </row>
    <row r="656" spans="23:24">
      <c r="W656" s="32"/>
      <c r="X656" s="33"/>
    </row>
    <row r="657" spans="23:24">
      <c r="W657" s="32"/>
      <c r="X657" s="33"/>
    </row>
    <row r="658" spans="23:24">
      <c r="W658" s="32"/>
      <c r="X658" s="33"/>
    </row>
    <row r="659" spans="23:24">
      <c r="W659" s="32"/>
      <c r="X659" s="33"/>
    </row>
    <row r="660" spans="23:24">
      <c r="W660" s="32"/>
      <c r="X660" s="33"/>
    </row>
    <row r="661" spans="23:24">
      <c r="W661" s="32"/>
      <c r="X661" s="33"/>
    </row>
    <row r="662" spans="23:24">
      <c r="W662" s="32"/>
      <c r="X662" s="33"/>
    </row>
    <row r="663" spans="23:24">
      <c r="W663" s="32"/>
      <c r="X663" s="33"/>
    </row>
    <row r="664" spans="23:24">
      <c r="W664" s="32"/>
      <c r="X664" s="33"/>
    </row>
    <row r="665" spans="23:24">
      <c r="W665" s="32"/>
      <c r="X665" s="33"/>
    </row>
    <row r="666" spans="23:24">
      <c r="W666" s="32"/>
      <c r="X666" s="33"/>
    </row>
    <row r="667" spans="23:24">
      <c r="W667" s="32"/>
      <c r="X667" s="33"/>
    </row>
    <row r="668" spans="23:24">
      <c r="W668" s="32"/>
      <c r="X668" s="33"/>
    </row>
    <row r="669" spans="23:24">
      <c r="W669" s="32"/>
      <c r="X669" s="33"/>
    </row>
    <row r="670" spans="23:24">
      <c r="W670" s="32"/>
      <c r="X670" s="33"/>
    </row>
    <row r="671" spans="23:24">
      <c r="W671" s="32"/>
      <c r="X671" s="33"/>
    </row>
    <row r="672" spans="23:24">
      <c r="W672" s="32"/>
      <c r="X672" s="33"/>
    </row>
    <row r="673" spans="23:24">
      <c r="W673" s="32"/>
      <c r="X673" s="33"/>
    </row>
    <row r="674" spans="23:24">
      <c r="W674" s="32"/>
      <c r="X674" s="33"/>
    </row>
    <row r="675" spans="23:24">
      <c r="W675" s="32"/>
      <c r="X675" s="33"/>
    </row>
    <row r="676" spans="23:24">
      <c r="W676" s="32"/>
      <c r="X676" s="33"/>
    </row>
    <row r="677" spans="23:24">
      <c r="W677" s="32"/>
      <c r="X677" s="33"/>
    </row>
    <row r="678" spans="23:24">
      <c r="W678" s="32"/>
      <c r="X678" s="33"/>
    </row>
    <row r="679" spans="23:24">
      <c r="W679" s="32"/>
      <c r="X679" s="33"/>
    </row>
    <row r="680" spans="23:24">
      <c r="W680" s="32"/>
      <c r="X680" s="33"/>
    </row>
    <row r="681" spans="23:24">
      <c r="W681" s="32"/>
      <c r="X681" s="33"/>
    </row>
    <row r="682" spans="23:24">
      <c r="W682" s="32"/>
      <c r="X682" s="33"/>
    </row>
    <row r="683" spans="23:24">
      <c r="W683" s="32"/>
      <c r="X683" s="33"/>
    </row>
    <row r="684" spans="23:24">
      <c r="W684" s="32"/>
      <c r="X684" s="33"/>
    </row>
    <row r="685" spans="23:24">
      <c r="W685" s="32"/>
      <c r="X685" s="33"/>
    </row>
    <row r="686" spans="23:24">
      <c r="W686" s="32"/>
      <c r="X686" s="33"/>
    </row>
    <row r="687" spans="23:24">
      <c r="W687" s="32"/>
      <c r="X687" s="33"/>
    </row>
    <row r="688" spans="23:24">
      <c r="W688" s="32"/>
      <c r="X688" s="33"/>
    </row>
    <row r="689" spans="23:24">
      <c r="W689" s="32"/>
      <c r="X689" s="33"/>
    </row>
    <row r="690" spans="23:24">
      <c r="W690" s="32"/>
      <c r="X690" s="33"/>
    </row>
    <row r="691" spans="23:24">
      <c r="W691" s="32"/>
      <c r="X691" s="33"/>
    </row>
    <row r="692" spans="23:24">
      <c r="W692" s="32"/>
      <c r="X692" s="33"/>
    </row>
    <row r="693" spans="23:24">
      <c r="W693" s="32"/>
      <c r="X693" s="33"/>
    </row>
    <row r="694" spans="23:24">
      <c r="W694" s="32"/>
      <c r="X694" s="33"/>
    </row>
    <row r="695" spans="23:24">
      <c r="W695" s="32"/>
      <c r="X695" s="33"/>
    </row>
    <row r="696" spans="23:24">
      <c r="W696" s="32"/>
      <c r="X696" s="33"/>
    </row>
    <row r="697" spans="23:24">
      <c r="W697" s="32"/>
      <c r="X697" s="33"/>
    </row>
    <row r="698" spans="23:24">
      <c r="W698" s="32"/>
      <c r="X698" s="33"/>
    </row>
    <row r="699" spans="23:24">
      <c r="W699" s="32"/>
      <c r="X699" s="33"/>
    </row>
    <row r="700" spans="23:24">
      <c r="W700" s="32"/>
      <c r="X700" s="33"/>
    </row>
    <row r="701" spans="23:24">
      <c r="W701" s="32"/>
      <c r="X701" s="33"/>
    </row>
    <row r="702" spans="23:24">
      <c r="W702" s="32"/>
      <c r="X702" s="33"/>
    </row>
    <row r="703" spans="23:24">
      <c r="W703" s="32"/>
      <c r="X703" s="33"/>
    </row>
    <row r="704" spans="23:24">
      <c r="W704" s="32"/>
      <c r="X704" s="33"/>
    </row>
    <row r="705" spans="23:24">
      <c r="W705" s="32"/>
      <c r="X705" s="33"/>
    </row>
    <row r="706" spans="23:24">
      <c r="W706" s="32"/>
      <c r="X706" s="33"/>
    </row>
    <row r="707" spans="23:24">
      <c r="W707" s="32"/>
      <c r="X707" s="33"/>
    </row>
    <row r="708" spans="23:24">
      <c r="W708" s="32"/>
      <c r="X708" s="33"/>
    </row>
    <row r="709" spans="23:24">
      <c r="W709" s="32"/>
      <c r="X709" s="33"/>
    </row>
    <row r="710" spans="23:24">
      <c r="W710" s="32"/>
      <c r="X710" s="33"/>
    </row>
    <row r="711" spans="23:24">
      <c r="W711" s="32"/>
      <c r="X711" s="33"/>
    </row>
    <row r="712" spans="23:24">
      <c r="W712" s="32"/>
      <c r="X712" s="33"/>
    </row>
    <row r="713" spans="23:24">
      <c r="W713" s="32"/>
      <c r="X713" s="33"/>
    </row>
    <row r="714" spans="23:24">
      <c r="W714" s="32"/>
      <c r="X714" s="33"/>
    </row>
    <row r="715" spans="23:24">
      <c r="W715" s="32"/>
      <c r="X715" s="33"/>
    </row>
    <row r="716" spans="23:24">
      <c r="W716" s="32"/>
      <c r="X716" s="33"/>
    </row>
    <row r="717" spans="23:24">
      <c r="W717" s="32"/>
      <c r="X717" s="33"/>
    </row>
    <row r="718" spans="23:24">
      <c r="W718" s="32"/>
      <c r="X718" s="33"/>
    </row>
    <row r="719" spans="23:24">
      <c r="W719" s="32"/>
      <c r="X719" s="33"/>
    </row>
    <row r="720" spans="23:24">
      <c r="W720" s="32"/>
      <c r="X720" s="33"/>
    </row>
    <row r="721" spans="23:24">
      <c r="W721" s="32"/>
      <c r="X721" s="33"/>
    </row>
    <row r="722" spans="23:24">
      <c r="W722" s="32"/>
      <c r="X722" s="58"/>
    </row>
    <row r="723" spans="23:24">
      <c r="W723" s="32"/>
      <c r="X723" s="3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A88C-AB1E-43C0-81CF-3239EC213B3C}">
  <dimension ref="A1:N251"/>
  <sheetViews>
    <sheetView rightToLeft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4" sqref="A4:K4"/>
    </sheetView>
  </sheetViews>
  <sheetFormatPr defaultRowHeight="14.25"/>
  <cols>
    <col min="1" max="2" width="9" style="5"/>
    <col min="3" max="3" width="14.75" style="5" customWidth="1"/>
    <col min="4" max="4" width="18.25" style="8" bestFit="1" customWidth="1"/>
    <col min="5" max="6" width="9" style="5"/>
    <col min="7" max="7" width="20.25" style="8" bestFit="1" customWidth="1"/>
    <col min="8" max="8" width="9" style="8"/>
    <col min="9" max="11" width="9" style="5"/>
    <col min="14" max="14" width="18.25" style="8" bestFit="1" customWidth="1"/>
    <col min="15" max="16384" width="9" style="5"/>
  </cols>
  <sheetData>
    <row r="1" spans="1:14">
      <c r="A1" s="5" t="s">
        <v>196</v>
      </c>
      <c r="D1" s="8" t="s">
        <v>205</v>
      </c>
      <c r="E1" s="5" t="s">
        <v>204</v>
      </c>
      <c r="F1" s="5" t="s">
        <v>203</v>
      </c>
      <c r="G1" s="8" t="s">
        <v>205</v>
      </c>
      <c r="H1" s="8" t="s">
        <v>205</v>
      </c>
      <c r="I1" s="5" t="s">
        <v>205</v>
      </c>
      <c r="J1" s="5" t="s">
        <v>205</v>
      </c>
      <c r="K1" s="5" t="s">
        <v>205</v>
      </c>
      <c r="L1" s="5"/>
      <c r="M1" s="5"/>
    </row>
    <row r="2" spans="1:14">
      <c r="A2" s="5" t="s">
        <v>197</v>
      </c>
      <c r="D2" s="8" t="s">
        <v>206</v>
      </c>
      <c r="E2" s="5" t="s">
        <v>208</v>
      </c>
      <c r="F2" s="5" t="s">
        <v>206</v>
      </c>
      <c r="G2" s="5" t="s">
        <v>206</v>
      </c>
      <c r="H2" s="5" t="s">
        <v>206</v>
      </c>
      <c r="I2" s="5" t="s">
        <v>206</v>
      </c>
      <c r="J2" s="5" t="s">
        <v>206</v>
      </c>
      <c r="K2" s="5" t="s">
        <v>206</v>
      </c>
      <c r="L2" s="5"/>
      <c r="M2" s="5"/>
    </row>
    <row r="3" spans="1:14">
      <c r="A3" s="2" t="s">
        <v>214</v>
      </c>
      <c r="G3" s="5"/>
      <c r="H3" s="5"/>
      <c r="L3" s="5"/>
      <c r="M3" s="5"/>
    </row>
    <row r="4" spans="1:14">
      <c r="A4" s="6" t="s">
        <v>0</v>
      </c>
      <c r="B4" s="5" t="s">
        <v>172</v>
      </c>
      <c r="C4" s="5" t="s">
        <v>173</v>
      </c>
      <c r="D4" s="8" t="s">
        <v>169</v>
      </c>
      <c r="E4" s="5" t="s">
        <v>158</v>
      </c>
      <c r="F4" s="5" t="s">
        <v>165</v>
      </c>
      <c r="G4" s="8" t="s">
        <v>187</v>
      </c>
      <c r="H4" s="8" t="s">
        <v>188</v>
      </c>
      <c r="I4" s="5" t="s">
        <v>189</v>
      </c>
      <c r="J4" s="5" t="s">
        <v>190</v>
      </c>
      <c r="K4" s="5" t="s">
        <v>191</v>
      </c>
      <c r="L4" s="5"/>
      <c r="M4" s="5"/>
    </row>
    <row r="5" spans="1:14">
      <c r="A5" s="5" t="s">
        <v>22</v>
      </c>
      <c r="B5" s="5">
        <f>_xlfn.NUMBERVALUE(RIGHT(A5,1))</f>
        <v>1</v>
      </c>
      <c r="C5" s="5">
        <f>_xlfn.NUMBERVALUE(LEFT(A5,4))</f>
        <v>1995</v>
      </c>
      <c r="D5" s="7">
        <v>137232.57800000001</v>
      </c>
      <c r="F5" s="5">
        <f>AVERAGEIFS(Monthly!$E$5:$E$361,Monthly!$D$5:$D$361,Quarterly!C5,Monthly!$C$5:$C$361,Quarterly!B5)</f>
        <v>50.686297921999994</v>
      </c>
      <c r="G5" s="10">
        <v>70112.724000000002</v>
      </c>
      <c r="H5" s="10">
        <v>39908.197999999997</v>
      </c>
      <c r="I5" s="5">
        <v>37992.379999999997</v>
      </c>
      <c r="J5" s="5">
        <v>29244.223000000002</v>
      </c>
      <c r="K5" s="5">
        <v>36840.080999999998</v>
      </c>
      <c r="L5" s="5"/>
      <c r="M5" s="5"/>
      <c r="N5" s="9"/>
    </row>
    <row r="6" spans="1:14">
      <c r="A6" s="5" t="s">
        <v>23</v>
      </c>
      <c r="B6" s="5">
        <f t="shared" ref="B6:B69" si="0">_xlfn.NUMBERVALUE(RIGHT(A6,1))</f>
        <v>2</v>
      </c>
      <c r="C6" s="5">
        <f t="shared" ref="C6:C69" si="1">_xlfn.NUMBERVALUE(LEFT(A6,4))</f>
        <v>1995</v>
      </c>
      <c r="D6" s="7">
        <v>140074.891</v>
      </c>
      <c r="F6" s="5">
        <f>AVERAGEIFS(Monthly!$E$5:$E$361,Monthly!$D$5:$D$361,Quarterly!C6,Monthly!$C$5:$C$361,Quarterly!B6)</f>
        <v>51.545149081266665</v>
      </c>
      <c r="G6" s="10">
        <v>70331.653000000006</v>
      </c>
      <c r="H6" s="10">
        <v>40199.49</v>
      </c>
      <c r="I6" s="5">
        <v>39062.303999999996</v>
      </c>
      <c r="J6" s="5">
        <v>30179.385999999999</v>
      </c>
      <c r="K6" s="5">
        <v>36457.796999999999</v>
      </c>
      <c r="L6" s="5"/>
      <c r="M6" s="5"/>
      <c r="N6" s="9"/>
    </row>
    <row r="7" spans="1:14">
      <c r="A7" s="5" t="s">
        <v>24</v>
      </c>
      <c r="B7" s="5">
        <f t="shared" si="0"/>
        <v>3</v>
      </c>
      <c r="C7" s="5">
        <f t="shared" si="1"/>
        <v>1995</v>
      </c>
      <c r="D7" s="7">
        <v>141735.08799999999</v>
      </c>
      <c r="F7" s="5">
        <f>AVERAGEIFS(Monthly!$E$5:$E$361,Monthly!$D$5:$D$361,Quarterly!C7,Monthly!$C$5:$C$361,Quarterly!B7)</f>
        <v>52.544795512500002</v>
      </c>
      <c r="G7" s="10">
        <v>71057.323999999993</v>
      </c>
      <c r="H7" s="10">
        <v>39524.851999999999</v>
      </c>
      <c r="I7" s="5">
        <v>39289.252999999997</v>
      </c>
      <c r="J7" s="5">
        <v>30462.717000000001</v>
      </c>
      <c r="K7" s="5">
        <v>36058.629999999997</v>
      </c>
      <c r="L7" s="5"/>
      <c r="M7" s="5"/>
      <c r="N7" s="9"/>
    </row>
    <row r="8" spans="1:14">
      <c r="A8" s="5" t="s">
        <v>25</v>
      </c>
      <c r="B8" s="5">
        <f t="shared" si="0"/>
        <v>4</v>
      </c>
      <c r="C8" s="5">
        <f t="shared" si="1"/>
        <v>1995</v>
      </c>
      <c r="D8" s="7">
        <v>142643.505</v>
      </c>
      <c r="F8" s="5">
        <f>AVERAGEIFS(Monthly!$E$5:$E$361,Monthly!$D$5:$D$361,Quarterly!C8,Monthly!$C$5:$C$361,Quarterly!B8)</f>
        <v>54.10762303173334</v>
      </c>
      <c r="G8" s="10">
        <v>74416.600000000006</v>
      </c>
      <c r="H8" s="10">
        <v>40078.902000000002</v>
      </c>
      <c r="I8" s="5">
        <v>40124.546999999999</v>
      </c>
      <c r="J8" s="5">
        <v>31595.34</v>
      </c>
      <c r="K8" s="5">
        <v>40014.707000000002</v>
      </c>
      <c r="L8" s="5"/>
      <c r="M8" s="8"/>
      <c r="N8" s="9"/>
    </row>
    <row r="9" spans="1:14">
      <c r="A9" s="5" t="s">
        <v>26</v>
      </c>
      <c r="B9" s="5">
        <f t="shared" si="0"/>
        <v>1</v>
      </c>
      <c r="C9" s="5">
        <f t="shared" si="1"/>
        <v>1996</v>
      </c>
      <c r="D9" s="7">
        <v>144318.53</v>
      </c>
      <c r="E9" s="5">
        <v>13.9</v>
      </c>
      <c r="F9" s="5">
        <f>AVERAGEIFS(Monthly!$E$5:$E$361,Monthly!$D$5:$D$361,Quarterly!C9,Monthly!$C$5:$C$361,Quarterly!B9)</f>
        <v>55.642291496599995</v>
      </c>
      <c r="G9" s="10">
        <v>74520.56</v>
      </c>
      <c r="H9" s="10">
        <v>40261.574999999997</v>
      </c>
      <c r="I9" s="5">
        <v>40536.667000000001</v>
      </c>
      <c r="J9" s="5">
        <v>31807.756000000001</v>
      </c>
      <c r="K9" s="5">
        <v>39798.936000000002</v>
      </c>
      <c r="L9" s="5"/>
      <c r="M9" s="5"/>
      <c r="N9" s="9"/>
    </row>
    <row r="10" spans="1:14">
      <c r="A10" s="5" t="s">
        <v>27</v>
      </c>
      <c r="B10" s="5">
        <f t="shared" si="0"/>
        <v>2</v>
      </c>
      <c r="C10" s="5">
        <f t="shared" si="1"/>
        <v>1996</v>
      </c>
      <c r="D10" s="7">
        <v>147008.826</v>
      </c>
      <c r="E10" s="5">
        <v>15.236651</v>
      </c>
      <c r="F10" s="5">
        <f>AVERAGEIFS(Monthly!$E$5:$E$361,Monthly!$D$5:$D$361,Quarterly!C10,Monthly!$C$5:$C$361,Quarterly!B10)</f>
        <v>57.895015848700005</v>
      </c>
      <c r="G10" s="10">
        <v>75123.63</v>
      </c>
      <c r="H10" s="10">
        <v>41118.345000000001</v>
      </c>
      <c r="I10" s="5">
        <v>42313.936999999998</v>
      </c>
      <c r="J10" s="5">
        <v>30887.838</v>
      </c>
      <c r="K10" s="5">
        <v>39567.856</v>
      </c>
      <c r="L10" s="5"/>
      <c r="M10" s="5"/>
      <c r="N10" s="9"/>
    </row>
    <row r="11" spans="1:14">
      <c r="A11" s="5" t="s">
        <v>28</v>
      </c>
      <c r="B11" s="5">
        <f t="shared" si="0"/>
        <v>3</v>
      </c>
      <c r="C11" s="5">
        <f t="shared" si="1"/>
        <v>1996</v>
      </c>
      <c r="D11" s="7">
        <v>149008.95000000001</v>
      </c>
      <c r="E11" s="5">
        <v>16.336663000000001</v>
      </c>
      <c r="F11" s="5">
        <f>AVERAGEIFS(Monthly!$E$5:$E$361,Monthly!$D$5:$D$361,Quarterly!C11,Monthly!$C$5:$C$361,Quarterly!B11)</f>
        <v>58.894662279899997</v>
      </c>
      <c r="G11" s="10">
        <v>75798.547999999995</v>
      </c>
      <c r="H11" s="10">
        <v>41773.387999999999</v>
      </c>
      <c r="I11" s="5">
        <v>41864.571000000004</v>
      </c>
      <c r="J11" s="5">
        <v>32414.162</v>
      </c>
      <c r="K11" s="5">
        <v>40044.298999999999</v>
      </c>
      <c r="L11" s="5"/>
      <c r="M11" s="5"/>
      <c r="N11" s="9"/>
    </row>
    <row r="12" spans="1:14">
      <c r="A12" s="5" t="s">
        <v>29</v>
      </c>
      <c r="B12" s="5">
        <f t="shared" si="0"/>
        <v>4</v>
      </c>
      <c r="C12" s="5">
        <f t="shared" si="1"/>
        <v>1996</v>
      </c>
      <c r="D12" s="7">
        <v>151348.64799999999</v>
      </c>
      <c r="E12" s="5">
        <v>15.266666000000001</v>
      </c>
      <c r="F12" s="5">
        <f>AVERAGEIFS(Monthly!$E$5:$E$361,Monthly!$D$5:$D$361,Quarterly!C12,Monthly!$C$5:$C$361,Quarterly!B12)</f>
        <v>60.006944928800003</v>
      </c>
      <c r="G12" s="10">
        <v>76031.797999999995</v>
      </c>
      <c r="H12" s="10">
        <v>42126.159</v>
      </c>
      <c r="I12" s="5">
        <v>42863.837</v>
      </c>
      <c r="J12" s="5">
        <v>33491.553</v>
      </c>
      <c r="K12" s="5">
        <v>40472.250999999997</v>
      </c>
      <c r="L12" s="5"/>
      <c r="M12" s="5"/>
      <c r="N12" s="9"/>
    </row>
    <row r="13" spans="1:14">
      <c r="A13" s="5" t="s">
        <v>30</v>
      </c>
      <c r="B13" s="5">
        <f t="shared" si="0"/>
        <v>1</v>
      </c>
      <c r="C13" s="5">
        <f t="shared" si="1"/>
        <v>1997</v>
      </c>
      <c r="D13" s="7">
        <v>153122.91699999999</v>
      </c>
      <c r="E13" s="5">
        <v>14.243332000000001</v>
      </c>
      <c r="F13" s="5">
        <f>AVERAGEIFS(Monthly!$E$5:$E$361,Monthly!$D$5:$D$361,Quarterly!C13,Monthly!$C$5:$C$361,Quarterly!B13)</f>
        <v>61.372659067233336</v>
      </c>
      <c r="G13" s="10">
        <v>77275.744999999995</v>
      </c>
      <c r="H13" s="10">
        <v>42428.148999999998</v>
      </c>
      <c r="I13" s="5">
        <v>42977.220999999998</v>
      </c>
      <c r="J13" s="5">
        <v>34422.559000000001</v>
      </c>
      <c r="K13" s="5">
        <v>41115.247000000003</v>
      </c>
      <c r="L13" s="5"/>
      <c r="M13" s="5"/>
      <c r="N13" s="9"/>
    </row>
    <row r="14" spans="1:14">
      <c r="A14" s="5" t="s">
        <v>31</v>
      </c>
      <c r="B14" s="5">
        <f t="shared" si="0"/>
        <v>2</v>
      </c>
      <c r="C14" s="5">
        <f t="shared" si="1"/>
        <v>1997</v>
      </c>
      <c r="D14" s="7">
        <v>153196.91200000001</v>
      </c>
      <c r="E14" s="5">
        <v>13.746665999999999</v>
      </c>
      <c r="F14" s="5">
        <f>AVERAGEIFS(Monthly!$E$5:$E$361,Monthly!$D$5:$D$361,Quarterly!C14,Monthly!$C$5:$C$361,Quarterly!B14)</f>
        <v>62.893248004899995</v>
      </c>
      <c r="G14" s="10">
        <v>78051.645999999993</v>
      </c>
      <c r="H14" s="10">
        <v>42335.012999999999</v>
      </c>
      <c r="I14" s="5">
        <v>41372.408000000003</v>
      </c>
      <c r="J14" s="5">
        <v>35330.658000000003</v>
      </c>
      <c r="K14" s="5">
        <v>41892.745000000003</v>
      </c>
      <c r="L14" s="5"/>
      <c r="M14" s="5"/>
      <c r="N14" s="9"/>
    </row>
    <row r="15" spans="1:14">
      <c r="A15" s="5" t="s">
        <v>32</v>
      </c>
      <c r="B15" s="5">
        <f t="shared" si="0"/>
        <v>3</v>
      </c>
      <c r="C15" s="5">
        <f t="shared" si="1"/>
        <v>1997</v>
      </c>
      <c r="D15" s="7">
        <v>153345.823</v>
      </c>
      <c r="E15" s="5">
        <v>12.993332000000001</v>
      </c>
      <c r="F15" s="5">
        <f>AVERAGEIFS(Monthly!$E$5:$E$361,Monthly!$D$5:$D$361,Quarterly!C15,Monthly!$C$5:$C$361,Quarterly!B15)</f>
        <v>64.230803088966653</v>
      </c>
      <c r="G15" s="10">
        <v>78378.350000000006</v>
      </c>
      <c r="H15" s="10">
        <v>42502.158000000003</v>
      </c>
      <c r="I15" s="5">
        <v>41664.256000000001</v>
      </c>
      <c r="J15" s="5">
        <v>36221.858999999997</v>
      </c>
      <c r="K15" s="5">
        <v>42057.129000000001</v>
      </c>
      <c r="L15" s="5"/>
      <c r="M15" s="5"/>
      <c r="N15" s="9"/>
    </row>
    <row r="16" spans="1:14">
      <c r="A16" s="5" t="s">
        <v>33</v>
      </c>
      <c r="B16" s="5">
        <f t="shared" si="0"/>
        <v>4</v>
      </c>
      <c r="C16" s="5">
        <f t="shared" si="1"/>
        <v>1997</v>
      </c>
      <c r="D16" s="7">
        <v>156122.16899999999</v>
      </c>
      <c r="E16" s="5">
        <v>13.4</v>
      </c>
      <c r="F16" s="5">
        <f>AVERAGEIFS(Monthly!$E$5:$E$361,Monthly!$D$5:$D$361,Quarterly!C16,Monthly!$C$5:$C$361,Quarterly!B16)</f>
        <v>64.864381813000008</v>
      </c>
      <c r="G16" s="10">
        <v>80277.192999999999</v>
      </c>
      <c r="H16" s="10">
        <v>42537.017999999996</v>
      </c>
      <c r="I16" s="5">
        <v>41173.220999999998</v>
      </c>
      <c r="J16" s="5">
        <v>36699.205999999998</v>
      </c>
      <c r="K16" s="5">
        <v>42598.726000000002</v>
      </c>
      <c r="L16" s="5"/>
      <c r="M16" s="5"/>
      <c r="N16" s="9"/>
    </row>
    <row r="17" spans="1:14">
      <c r="A17" s="5" t="s">
        <v>34</v>
      </c>
      <c r="B17" s="5">
        <f t="shared" si="0"/>
        <v>1</v>
      </c>
      <c r="C17" s="5">
        <f t="shared" si="1"/>
        <v>1998</v>
      </c>
      <c r="D17" s="7">
        <v>159174.55499999999</v>
      </c>
      <c r="E17" s="5">
        <v>12.929999</v>
      </c>
      <c r="F17" s="5">
        <f>AVERAGEIFS(Monthly!$E$5:$E$361,Monthly!$D$5:$D$361,Quarterly!C17,Monthly!$C$5:$C$361,Quarterly!B17)</f>
        <v>64.808063704199995</v>
      </c>
      <c r="G17" s="10">
        <v>81341.023000000001</v>
      </c>
      <c r="H17" s="10">
        <v>42945.883999999998</v>
      </c>
      <c r="I17" s="5">
        <v>42791.341999999997</v>
      </c>
      <c r="J17" s="5">
        <v>36321.601999999999</v>
      </c>
      <c r="K17" s="5">
        <v>42277.635999999999</v>
      </c>
      <c r="L17" s="5"/>
      <c r="M17" s="5"/>
      <c r="N17" s="9"/>
    </row>
    <row r="18" spans="1:14">
      <c r="A18" s="5" t="s">
        <v>35</v>
      </c>
      <c r="B18" s="5">
        <f t="shared" si="0"/>
        <v>2</v>
      </c>
      <c r="C18" s="5">
        <f t="shared" si="1"/>
        <v>1998</v>
      </c>
      <c r="D18" s="7">
        <v>158400.93799999999</v>
      </c>
      <c r="E18" s="5">
        <v>11.899998999999999</v>
      </c>
      <c r="F18" s="5">
        <f>AVERAGEIFS(Monthly!$E$5:$E$361,Monthly!$D$5:$D$361,Quarterly!C18,Monthly!$C$5:$C$361,Quarterly!B18)</f>
        <v>65.849948717000004</v>
      </c>
      <c r="G18" s="10">
        <v>83355.688999999998</v>
      </c>
      <c r="H18" s="10">
        <v>43152.955000000002</v>
      </c>
      <c r="I18" s="5">
        <v>38905.991000000002</v>
      </c>
      <c r="J18" s="5">
        <v>39524.164700000001</v>
      </c>
      <c r="K18" s="5">
        <v>43416.235000000001</v>
      </c>
      <c r="L18" s="5"/>
      <c r="M18" s="5"/>
      <c r="N18" s="9"/>
    </row>
    <row r="19" spans="1:14">
      <c r="A19" s="5" t="s">
        <v>36</v>
      </c>
      <c r="B19" s="5">
        <f t="shared" si="0"/>
        <v>3</v>
      </c>
      <c r="C19" s="5">
        <f t="shared" si="1"/>
        <v>1998</v>
      </c>
      <c r="D19" s="7">
        <v>159913.42000000001</v>
      </c>
      <c r="E19" s="5">
        <v>10.393326</v>
      </c>
      <c r="F19" s="5">
        <f>AVERAGEIFS(Monthly!$E$5:$E$361,Monthly!$D$5:$D$361,Quarterly!C19,Monthly!$C$5:$C$361,Quarterly!B19)</f>
        <v>66.553925077033327</v>
      </c>
      <c r="G19" s="10">
        <v>83887.654999999999</v>
      </c>
      <c r="H19" s="10">
        <v>43425.550999999999</v>
      </c>
      <c r="I19" s="5">
        <v>41357.722000000002</v>
      </c>
      <c r="J19" s="5">
        <v>37999.69</v>
      </c>
      <c r="K19" s="5">
        <v>43369.894</v>
      </c>
      <c r="L19" s="5"/>
      <c r="M19" s="5"/>
      <c r="N19" s="9"/>
    </row>
    <row r="20" spans="1:14">
      <c r="A20" s="5" t="s">
        <v>37</v>
      </c>
      <c r="B20" s="5">
        <f t="shared" si="0"/>
        <v>4</v>
      </c>
      <c r="C20" s="5">
        <f t="shared" si="1"/>
        <v>1998</v>
      </c>
      <c r="D20" s="7">
        <v>160587.88099999999</v>
      </c>
      <c r="E20" s="5">
        <v>11.999969</v>
      </c>
      <c r="F20" s="5">
        <f>AVERAGEIFS(Monthly!$E$5:$E$361,Monthly!$D$5:$D$361,Quarterly!C20,Monthly!$C$5:$C$361,Quarterly!B20)</f>
        <v>69.918932077999997</v>
      </c>
      <c r="G20" s="10">
        <v>84014.781000000003</v>
      </c>
      <c r="H20" s="10">
        <v>43241.044000000002</v>
      </c>
      <c r="I20" s="5">
        <v>41149.944000000003</v>
      </c>
      <c r="J20" s="5">
        <v>38530.161999999997</v>
      </c>
      <c r="K20" s="5">
        <v>43673.279999999999</v>
      </c>
      <c r="L20" s="5"/>
      <c r="M20" s="5"/>
      <c r="N20" s="9"/>
    </row>
    <row r="21" spans="1:14">
      <c r="A21" s="5" t="s">
        <v>38</v>
      </c>
      <c r="B21" s="5">
        <f t="shared" si="0"/>
        <v>1</v>
      </c>
      <c r="C21" s="5">
        <f t="shared" si="1"/>
        <v>1999</v>
      </c>
      <c r="D21" s="7">
        <v>160806.367</v>
      </c>
      <c r="E21" s="5">
        <v>13.286666</v>
      </c>
      <c r="F21" s="5">
        <f>AVERAGEIFS(Monthly!$E$5:$E$361,Monthly!$D$5:$D$361,Quarterly!C21,Monthly!$C$5:$C$361,Quarterly!B21)</f>
        <v>69.517144610233331</v>
      </c>
      <c r="G21" s="10">
        <v>85207.107000000004</v>
      </c>
      <c r="H21" s="10">
        <v>43446.841</v>
      </c>
      <c r="I21" s="5">
        <v>41426.029000000002</v>
      </c>
      <c r="J21" s="5">
        <v>39763.720999999998</v>
      </c>
      <c r="K21" s="5">
        <v>45997.77</v>
      </c>
      <c r="L21" s="5"/>
      <c r="M21" s="5"/>
      <c r="N21" s="9"/>
    </row>
    <row r="22" spans="1:14">
      <c r="A22" s="5" t="s">
        <v>39</v>
      </c>
      <c r="B22" s="5">
        <f t="shared" si="0"/>
        <v>2</v>
      </c>
      <c r="C22" s="5">
        <f t="shared" si="1"/>
        <v>1999</v>
      </c>
      <c r="D22" s="7">
        <v>166024.277</v>
      </c>
      <c r="E22" s="5">
        <v>12.156666</v>
      </c>
      <c r="F22" s="5">
        <f>AVERAGEIFS(Monthly!$E$5:$E$361,Monthly!$D$5:$D$361,Quarterly!C22,Monthly!$C$5:$C$361,Quarterly!B22)</f>
        <v>69.73974193526665</v>
      </c>
      <c r="G22" s="10">
        <v>86026.134999999995</v>
      </c>
      <c r="H22" s="10">
        <v>43955.014999999999</v>
      </c>
      <c r="I22" s="5">
        <v>46291.381000000001</v>
      </c>
      <c r="J22" s="5">
        <v>41621.754000000001</v>
      </c>
      <c r="K22" s="5">
        <v>49183.481</v>
      </c>
      <c r="L22" s="5"/>
      <c r="M22" s="5"/>
      <c r="N22" s="9"/>
    </row>
    <row r="23" spans="1:14">
      <c r="A23" s="5" t="s">
        <v>40</v>
      </c>
      <c r="B23" s="5">
        <f t="shared" si="0"/>
        <v>3</v>
      </c>
      <c r="C23" s="5">
        <f t="shared" si="1"/>
        <v>1999</v>
      </c>
      <c r="D23" s="7">
        <v>166563.08100000001</v>
      </c>
      <c r="E23" s="5">
        <v>11.656666</v>
      </c>
      <c r="F23" s="5">
        <f>AVERAGEIFS(Monthly!$E$5:$E$361,Monthly!$D$5:$D$361,Quarterly!C23,Monthly!$C$5:$C$361,Quarterly!B23)</f>
        <v>70.518832572933334</v>
      </c>
      <c r="G23" s="10">
        <v>87800.83</v>
      </c>
      <c r="H23" s="10">
        <v>44342</v>
      </c>
      <c r="I23" s="5">
        <v>44450.04</v>
      </c>
      <c r="J23" s="5">
        <v>45028.296000000002</v>
      </c>
      <c r="K23" s="5">
        <v>51747.444000000003</v>
      </c>
      <c r="L23" s="5"/>
      <c r="M23" s="5"/>
      <c r="N23" s="9"/>
    </row>
    <row r="24" spans="1:14">
      <c r="A24" s="5" t="s">
        <v>41</v>
      </c>
      <c r="B24" s="5">
        <f t="shared" si="0"/>
        <v>4</v>
      </c>
      <c r="C24" s="5">
        <f t="shared" si="1"/>
        <v>1999</v>
      </c>
      <c r="D24" s="7">
        <v>169904.80300000001</v>
      </c>
      <c r="E24" s="5">
        <v>11.363333000000001</v>
      </c>
      <c r="F24" s="5">
        <f>AVERAGEIFS(Monthly!$E$5:$E$361,Monthly!$D$5:$D$361,Quarterly!C24,Monthly!$C$5:$C$361,Quarterly!B24)</f>
        <v>71.231144013099993</v>
      </c>
      <c r="G24" s="10">
        <v>88235.447</v>
      </c>
      <c r="H24" s="10">
        <v>44767.635999999999</v>
      </c>
      <c r="I24" s="5">
        <v>44640.959999999999</v>
      </c>
      <c r="J24" s="5">
        <v>47040.667000000001</v>
      </c>
      <c r="K24" s="5">
        <v>52181.497000000003</v>
      </c>
      <c r="L24" s="5"/>
      <c r="M24" s="5"/>
      <c r="N24" s="9"/>
    </row>
    <row r="25" spans="1:14">
      <c r="A25" s="5" t="s">
        <v>42</v>
      </c>
      <c r="B25" s="5">
        <f t="shared" si="0"/>
        <v>1</v>
      </c>
      <c r="C25" s="5">
        <f t="shared" si="1"/>
        <v>2000</v>
      </c>
      <c r="D25" s="7">
        <v>171932.55600000001</v>
      </c>
      <c r="E25" s="5">
        <v>10.246665</v>
      </c>
      <c r="F25" s="5">
        <f>AVERAGEIFS(Monthly!$E$5:$E$361,Monthly!$D$5:$D$361,Quarterly!C25,Monthly!$C$5:$C$361,Quarterly!B25)</f>
        <v>70.563352037933342</v>
      </c>
      <c r="G25" s="10">
        <v>90513.106</v>
      </c>
      <c r="H25" s="10">
        <v>44385.523000000001</v>
      </c>
      <c r="I25" s="5">
        <v>42983.663</v>
      </c>
      <c r="J25" s="5">
        <v>50122.913999999997</v>
      </c>
      <c r="K25" s="5">
        <v>54337.446000000004</v>
      </c>
      <c r="L25" s="5"/>
      <c r="M25" s="5"/>
      <c r="N25" s="9"/>
    </row>
    <row r="26" spans="1:14">
      <c r="A26" s="5" t="s">
        <v>43</v>
      </c>
      <c r="B26" s="5">
        <f t="shared" si="0"/>
        <v>2</v>
      </c>
      <c r="C26" s="5">
        <f t="shared" si="1"/>
        <v>2000</v>
      </c>
      <c r="D26" s="7">
        <v>178221.337</v>
      </c>
      <c r="E26" s="5">
        <v>9.4</v>
      </c>
      <c r="F26" s="5">
        <f>AVERAGEIFS(Monthly!$E$5:$E$361,Monthly!$D$5:$D$361,Quarterly!C26,Monthly!$C$5:$C$361,Quarterly!B26)</f>
        <v>71.119845350566678</v>
      </c>
      <c r="G26" s="10">
        <v>92921.767999999996</v>
      </c>
      <c r="H26" s="10">
        <v>44503.417999999998</v>
      </c>
      <c r="I26" s="5">
        <v>43839.021000000001</v>
      </c>
      <c r="J26" s="5">
        <v>52446.165999999997</v>
      </c>
      <c r="K26" s="5">
        <v>54697.135000000002</v>
      </c>
      <c r="L26" s="5"/>
      <c r="M26" s="5"/>
      <c r="N26" s="9"/>
    </row>
    <row r="27" spans="1:14">
      <c r="A27" s="5" t="s">
        <v>44</v>
      </c>
      <c r="B27" s="5">
        <f t="shared" si="0"/>
        <v>3</v>
      </c>
      <c r="C27" s="5">
        <f t="shared" si="1"/>
        <v>2000</v>
      </c>
      <c r="D27" s="7">
        <v>183865.92</v>
      </c>
      <c r="E27" s="5">
        <v>9.0833329999999997</v>
      </c>
      <c r="F27" s="5">
        <f>AVERAGEIFS(Monthly!$E$5:$E$361,Monthly!$D$5:$D$361,Quarterly!C27,Monthly!$C$5:$C$361,Quarterly!B27)</f>
        <v>71.253403745566672</v>
      </c>
      <c r="G27" s="10">
        <v>95834.308000000005</v>
      </c>
      <c r="H27" s="10">
        <v>44571.584999999999</v>
      </c>
      <c r="I27" s="5">
        <v>41573.025000000001</v>
      </c>
      <c r="J27" s="5">
        <v>61898.147299999997</v>
      </c>
      <c r="K27" s="5">
        <v>56299.987000000001</v>
      </c>
      <c r="L27" s="5"/>
      <c r="M27" s="5"/>
      <c r="N27" s="9"/>
    </row>
    <row r="28" spans="1:14">
      <c r="A28" s="5" t="s">
        <v>45</v>
      </c>
      <c r="B28" s="5">
        <f t="shared" si="0"/>
        <v>4</v>
      </c>
      <c r="C28" s="5">
        <f t="shared" si="1"/>
        <v>2000</v>
      </c>
      <c r="D28" s="7">
        <v>184308.25200000001</v>
      </c>
      <c r="E28" s="5">
        <v>8.3533329999999992</v>
      </c>
      <c r="F28" s="5">
        <f>AVERAGEIFS(Monthly!$E$5:$E$361,Monthly!$D$5:$D$361,Quarterly!C28,Monthly!$C$5:$C$361,Quarterly!B28)</f>
        <v>71.231144013099993</v>
      </c>
      <c r="G28" s="10">
        <v>97749.351999999999</v>
      </c>
      <c r="H28" s="10">
        <v>45290.584999999999</v>
      </c>
      <c r="I28" s="5">
        <v>49899.497000000003</v>
      </c>
      <c r="J28" s="5">
        <v>51822.067000000003</v>
      </c>
      <c r="K28" s="5">
        <v>57537.442000000003</v>
      </c>
      <c r="L28" s="5"/>
      <c r="M28" s="5"/>
      <c r="N28" s="9"/>
    </row>
    <row r="29" spans="1:14">
      <c r="A29" s="5" t="s">
        <v>46</v>
      </c>
      <c r="B29" s="5">
        <f t="shared" si="0"/>
        <v>1</v>
      </c>
      <c r="C29" s="5">
        <f t="shared" si="1"/>
        <v>2001</v>
      </c>
      <c r="D29" s="7">
        <v>182531.65400000001</v>
      </c>
      <c r="E29" s="5">
        <v>7.7099989999999998</v>
      </c>
      <c r="F29" s="5">
        <f>AVERAGEIFS(Monthly!$E$5:$E$361,Monthly!$D$5:$D$361,Quarterly!C29,Monthly!$C$5:$C$361,Quarterly!B29)</f>
        <v>70.768853888433327</v>
      </c>
      <c r="G29" s="10">
        <v>97669.622000000003</v>
      </c>
      <c r="H29" s="10">
        <v>45859.089</v>
      </c>
      <c r="I29" s="5">
        <v>46977.741000000002</v>
      </c>
      <c r="J29" s="5">
        <v>50959.061299999994</v>
      </c>
      <c r="K29" s="5">
        <v>56453.856</v>
      </c>
      <c r="L29" s="5"/>
      <c r="M29" s="5"/>
      <c r="N29" s="9"/>
    </row>
    <row r="30" spans="1:14">
      <c r="A30" s="5" t="s">
        <v>47</v>
      </c>
      <c r="B30" s="5">
        <f t="shared" si="0"/>
        <v>2</v>
      </c>
      <c r="C30" s="5">
        <f t="shared" si="1"/>
        <v>2001</v>
      </c>
      <c r="D30" s="7">
        <v>181004.976</v>
      </c>
      <c r="E30" s="5">
        <v>7.1033330000000001</v>
      </c>
      <c r="F30" s="5">
        <f>AVERAGEIFS(Monthly!$E$5:$E$361,Monthly!$D$5:$D$361,Quarterly!C30,Monthly!$C$5:$C$361,Quarterly!B30)</f>
        <v>71.739912459199999</v>
      </c>
      <c r="G30" s="10">
        <v>97570.248999999996</v>
      </c>
      <c r="H30" s="10">
        <v>45975.044999999998</v>
      </c>
      <c r="I30" s="5">
        <v>46592.326000000001</v>
      </c>
      <c r="J30" s="5">
        <v>47760.970999999998</v>
      </c>
      <c r="K30" s="5">
        <v>53738.841999999997</v>
      </c>
      <c r="L30" s="5"/>
      <c r="M30" s="5"/>
      <c r="N30" s="9"/>
    </row>
    <row r="31" spans="1:14">
      <c r="A31" s="5" t="s">
        <v>48</v>
      </c>
      <c r="B31" s="5">
        <f t="shared" si="0"/>
        <v>3</v>
      </c>
      <c r="C31" s="5">
        <f t="shared" si="1"/>
        <v>2001</v>
      </c>
      <c r="D31" s="7">
        <v>179050.77100000001</v>
      </c>
      <c r="E31" s="5">
        <v>6.3533330000000001</v>
      </c>
      <c r="F31" s="5">
        <f>AVERAGEIFS(Monthly!$E$5:$E$361,Monthly!$D$5:$D$361,Quarterly!C31,Monthly!$C$5:$C$361,Quarterly!B31)</f>
        <v>72.450443120700001</v>
      </c>
      <c r="G31" s="10">
        <v>98047.921000000002</v>
      </c>
      <c r="H31" s="10">
        <v>45863.451000000001</v>
      </c>
      <c r="I31" s="5">
        <v>42841.161</v>
      </c>
      <c r="J31" s="5">
        <v>46772.677000000003</v>
      </c>
      <c r="K31" s="5">
        <v>51728.788999999997</v>
      </c>
      <c r="L31" s="5"/>
      <c r="M31" s="5"/>
      <c r="N31" s="9"/>
    </row>
    <row r="32" spans="1:14">
      <c r="A32" s="5" t="s">
        <v>49</v>
      </c>
      <c r="B32" s="5">
        <f t="shared" si="0"/>
        <v>4</v>
      </c>
      <c r="C32" s="5">
        <f t="shared" si="1"/>
        <v>2001</v>
      </c>
      <c r="D32" s="7">
        <v>178310.91</v>
      </c>
      <c r="E32" s="5">
        <v>5.9099979999999999</v>
      </c>
      <c r="F32" s="5">
        <f>AVERAGEIFS(Monthly!$E$5:$E$361,Monthly!$D$5:$D$361,Quarterly!C32,Monthly!$C$5:$C$361,Quarterly!B32)</f>
        <v>72.379390054566656</v>
      </c>
      <c r="G32" s="10">
        <v>98828.244000000006</v>
      </c>
      <c r="H32" s="10">
        <v>47750.582000000002</v>
      </c>
      <c r="I32" s="5">
        <v>41301.580999999998</v>
      </c>
      <c r="J32" s="5">
        <v>45302.06</v>
      </c>
      <c r="K32" s="5">
        <v>50778.396000000001</v>
      </c>
      <c r="L32" s="5"/>
      <c r="M32" s="5"/>
      <c r="N32" s="9"/>
    </row>
    <row r="33" spans="1:14">
      <c r="A33" s="5" t="s">
        <v>50</v>
      </c>
      <c r="B33" s="5">
        <f t="shared" si="0"/>
        <v>1</v>
      </c>
      <c r="C33" s="5">
        <f t="shared" si="1"/>
        <v>2002</v>
      </c>
      <c r="D33" s="7">
        <v>179796.63200000001</v>
      </c>
      <c r="E33" s="5">
        <v>4.0133320000000001</v>
      </c>
      <c r="F33" s="5">
        <f>AVERAGEIFS(Monthly!$E$5:$E$361,Monthly!$D$5:$D$361,Quarterly!C33,Monthly!$C$5:$C$361,Quarterly!B33)</f>
        <v>73.46887040226666</v>
      </c>
      <c r="G33" s="10">
        <v>99914.691000000006</v>
      </c>
      <c r="H33" s="10">
        <v>47902.972000000002</v>
      </c>
      <c r="I33" s="5">
        <v>41534.716999999997</v>
      </c>
      <c r="J33" s="5">
        <v>45091.406999999999</v>
      </c>
      <c r="K33" s="5">
        <v>51676.076999999997</v>
      </c>
      <c r="L33" s="5"/>
      <c r="M33" s="5"/>
      <c r="N33" s="9"/>
    </row>
    <row r="34" spans="1:14">
      <c r="A34" s="5" t="s">
        <v>51</v>
      </c>
      <c r="B34" s="5">
        <f t="shared" si="0"/>
        <v>2</v>
      </c>
      <c r="C34" s="5">
        <f t="shared" si="1"/>
        <v>2002</v>
      </c>
      <c r="D34" s="7">
        <v>179847.08499999999</v>
      </c>
      <c r="E34" s="5">
        <v>5.3133169999999996</v>
      </c>
      <c r="F34" s="5">
        <f>AVERAGEIFS(Monthly!$E$5:$E$361,Monthly!$D$5:$D$361,Quarterly!C34,Monthly!$C$5:$C$361,Quarterly!B34)</f>
        <v>75.837305940666667</v>
      </c>
      <c r="G34" s="10">
        <v>99791.028000000006</v>
      </c>
      <c r="H34" s="10">
        <v>48297.591</v>
      </c>
      <c r="I34" s="5">
        <v>40691.982000000004</v>
      </c>
      <c r="J34" s="5">
        <v>46918.082000000002</v>
      </c>
      <c r="K34" s="5">
        <v>53061.605000000003</v>
      </c>
      <c r="L34" s="5"/>
      <c r="M34" s="5"/>
      <c r="N34" s="9"/>
    </row>
    <row r="35" spans="1:14">
      <c r="A35" s="5" t="s">
        <v>52</v>
      </c>
      <c r="B35" s="5">
        <f t="shared" si="0"/>
        <v>3</v>
      </c>
      <c r="C35" s="5">
        <f t="shared" si="1"/>
        <v>2002</v>
      </c>
      <c r="D35" s="7">
        <v>179977.30799999999</v>
      </c>
      <c r="E35" s="5">
        <v>9.1</v>
      </c>
      <c r="F35" s="5">
        <f>AVERAGEIFS(Monthly!$E$5:$E$361,Monthly!$D$5:$D$361,Quarterly!C35,Monthly!$C$5:$C$361,Quarterly!B35)</f>
        <v>77.139945486766678</v>
      </c>
      <c r="G35" s="10">
        <v>98460.884000000005</v>
      </c>
      <c r="H35" s="10">
        <v>48478.95</v>
      </c>
      <c r="I35" s="5">
        <v>41835.500999999997</v>
      </c>
      <c r="J35" s="5">
        <v>46561.411999999997</v>
      </c>
      <c r="K35" s="5">
        <v>51990.661999999997</v>
      </c>
      <c r="L35" s="5"/>
      <c r="M35" s="5"/>
      <c r="N35" s="9"/>
    </row>
    <row r="36" spans="1:14">
      <c r="A36" s="5" t="s">
        <v>53</v>
      </c>
      <c r="B36" s="5">
        <f t="shared" si="0"/>
        <v>4</v>
      </c>
      <c r="C36" s="5">
        <f t="shared" si="1"/>
        <v>2002</v>
      </c>
      <c r="D36" s="7">
        <v>179898.52</v>
      </c>
      <c r="E36" s="5">
        <v>9.0866670000000003</v>
      </c>
      <c r="F36" s="5">
        <f>AVERAGEIFS(Monthly!$E$5:$E$361,Monthly!$D$5:$D$361,Quarterly!C36,Monthly!$C$5:$C$361,Quarterly!B36)</f>
        <v>77.23468290833334</v>
      </c>
      <c r="G36" s="10">
        <v>99723.241999999998</v>
      </c>
      <c r="H36" s="10">
        <v>48617.86</v>
      </c>
      <c r="I36" s="5">
        <v>39760.286999999997</v>
      </c>
      <c r="J36" s="5">
        <v>48327.556700000001</v>
      </c>
      <c r="K36" s="5">
        <v>53031.218000000001</v>
      </c>
      <c r="L36" s="5"/>
      <c r="M36" s="5"/>
      <c r="N36" s="9"/>
    </row>
    <row r="37" spans="1:14">
      <c r="A37" s="5" t="s">
        <v>54</v>
      </c>
      <c r="B37" s="5">
        <f t="shared" si="0"/>
        <v>1</v>
      </c>
      <c r="C37" s="5">
        <f t="shared" si="1"/>
        <v>2003</v>
      </c>
      <c r="D37" s="7">
        <v>182413.3</v>
      </c>
      <c r="E37" s="5">
        <v>8.89</v>
      </c>
      <c r="F37" s="5">
        <f>AVERAGEIFS(Monthly!$E$5:$E$361,Monthly!$D$5:$D$361,Quarterly!C37,Monthly!$C$5:$C$361,Quarterly!B37)</f>
        <v>77.275893686700002</v>
      </c>
      <c r="G37" s="10">
        <v>98307.642999999996</v>
      </c>
      <c r="H37" s="10">
        <v>48228.135999999999</v>
      </c>
      <c r="I37" s="5">
        <v>39352.124000000003</v>
      </c>
      <c r="J37" s="5">
        <v>49459.991799999996</v>
      </c>
      <c r="K37" s="5">
        <v>50675.856</v>
      </c>
      <c r="L37" s="5"/>
      <c r="M37" s="5"/>
      <c r="N37" s="9"/>
    </row>
    <row r="38" spans="1:14">
      <c r="A38" s="5" t="s">
        <v>55</v>
      </c>
      <c r="B38" s="5">
        <f t="shared" si="0"/>
        <v>2</v>
      </c>
      <c r="C38" s="5">
        <f t="shared" si="1"/>
        <v>2003</v>
      </c>
      <c r="D38" s="7">
        <v>181463.67199999999</v>
      </c>
      <c r="E38" s="5">
        <v>8.3299990000000008</v>
      </c>
      <c r="F38" s="5">
        <f>AVERAGEIFS(Monthly!$E$5:$E$361,Monthly!$D$5:$D$361,Quarterly!C38,Monthly!$C$5:$C$361,Quarterly!B38)</f>
        <v>76.921765205033338</v>
      </c>
      <c r="G38" s="10">
        <v>99632.558999999994</v>
      </c>
      <c r="H38" s="10">
        <v>47210.762999999999</v>
      </c>
      <c r="I38" s="5">
        <v>38801.400999999998</v>
      </c>
      <c r="J38" s="5">
        <v>48486.086000000003</v>
      </c>
      <c r="K38" s="5">
        <v>51046.928</v>
      </c>
      <c r="L38" s="5"/>
      <c r="M38" s="5"/>
      <c r="N38" s="9"/>
    </row>
    <row r="39" spans="1:14">
      <c r="A39" s="5" t="s">
        <v>56</v>
      </c>
      <c r="B39" s="5">
        <f t="shared" si="0"/>
        <v>3</v>
      </c>
      <c r="C39" s="5">
        <f t="shared" si="1"/>
        <v>2003</v>
      </c>
      <c r="D39" s="7">
        <v>182754.84099999999</v>
      </c>
      <c r="E39" s="5">
        <v>6.9533310000000004</v>
      </c>
      <c r="F39" s="5">
        <f>AVERAGEIFS(Monthly!$E$5:$E$361,Monthly!$D$5:$D$361,Quarterly!C39,Monthly!$C$5:$C$361,Quarterly!B39)</f>
        <v>75.935264434533323</v>
      </c>
      <c r="G39" s="10">
        <v>101200.33</v>
      </c>
      <c r="H39" s="10">
        <v>47368.182999999997</v>
      </c>
      <c r="I39" s="5">
        <v>39133.016000000003</v>
      </c>
      <c r="J39" s="5">
        <v>51589.009700000002</v>
      </c>
      <c r="K39" s="5">
        <v>53289.095000000001</v>
      </c>
      <c r="L39" s="5"/>
      <c r="M39" s="5"/>
      <c r="N39" s="9"/>
    </row>
    <row r="40" spans="1:14">
      <c r="A40" s="5" t="s">
        <v>57</v>
      </c>
      <c r="B40" s="5">
        <f t="shared" si="0"/>
        <v>4</v>
      </c>
      <c r="C40" s="5">
        <f t="shared" si="1"/>
        <v>2003</v>
      </c>
      <c r="D40" s="7">
        <v>183994.56200000001</v>
      </c>
      <c r="E40" s="5">
        <v>5.609998</v>
      </c>
      <c r="F40" s="5">
        <f>AVERAGEIFS(Monthly!$E$5:$E$361,Monthly!$D$5:$D$361,Quarterly!C40,Monthly!$C$5:$C$361,Quarterly!B40)</f>
        <v>75.581135952799997</v>
      </c>
      <c r="G40" s="10">
        <v>101202.145</v>
      </c>
      <c r="H40" s="10">
        <v>46805.731</v>
      </c>
      <c r="I40" s="5">
        <v>38639.845000000001</v>
      </c>
      <c r="J40" s="5">
        <v>53007.642999999996</v>
      </c>
      <c r="K40" s="5">
        <v>52033.716</v>
      </c>
      <c r="L40" s="5"/>
      <c r="M40" s="5"/>
      <c r="N40" s="9"/>
    </row>
    <row r="41" spans="1:14">
      <c r="A41" s="5" t="s">
        <v>58</v>
      </c>
      <c r="B41" s="5">
        <f t="shared" si="0"/>
        <v>1</v>
      </c>
      <c r="C41" s="5">
        <f t="shared" si="1"/>
        <v>2004</v>
      </c>
      <c r="D41" s="7">
        <v>186656.122</v>
      </c>
      <c r="E41" s="5">
        <v>4.523333</v>
      </c>
      <c r="F41" s="5">
        <f>AVERAGEIFS(Monthly!$E$5:$E$361,Monthly!$D$5:$D$361,Quarterly!C41,Monthly!$C$5:$C$361,Quarterly!B41)</f>
        <v>75.353481928866657</v>
      </c>
      <c r="G41" s="10">
        <v>102597.08</v>
      </c>
      <c r="H41" s="10">
        <v>46518.663</v>
      </c>
      <c r="I41" s="5">
        <v>39796.504999999997</v>
      </c>
      <c r="J41" s="5">
        <v>56523.071400000001</v>
      </c>
      <c r="K41" s="5">
        <v>56586.021000000001</v>
      </c>
      <c r="L41" s="5"/>
      <c r="M41" s="5"/>
      <c r="N41" s="9"/>
    </row>
    <row r="42" spans="1:14">
      <c r="A42" s="5" t="s">
        <v>59</v>
      </c>
      <c r="B42" s="5">
        <f t="shared" si="0"/>
        <v>2</v>
      </c>
      <c r="C42" s="5">
        <f t="shared" si="1"/>
        <v>2004</v>
      </c>
      <c r="D42" s="7">
        <v>189049.655</v>
      </c>
      <c r="E42" s="5">
        <v>4.0999999999999996</v>
      </c>
      <c r="F42" s="5">
        <f>AVERAGEIFS(Monthly!$E$5:$E$361,Monthly!$D$5:$D$361,Quarterly!C42,Monthly!$C$5:$C$361,Quarterly!B42)</f>
        <v>76.390572482466666</v>
      </c>
      <c r="G42" s="10">
        <v>103777.302</v>
      </c>
      <c r="H42" s="10">
        <v>47289.298999999999</v>
      </c>
      <c r="I42" s="5">
        <v>38445.919000000002</v>
      </c>
      <c r="J42" s="5">
        <v>59102.451399999998</v>
      </c>
      <c r="K42" s="5">
        <v>56964.25</v>
      </c>
      <c r="L42" s="5"/>
      <c r="M42" s="5"/>
      <c r="N42" s="9"/>
    </row>
    <row r="43" spans="1:14">
      <c r="A43" s="5" t="s">
        <v>60</v>
      </c>
      <c r="B43" s="5">
        <f t="shared" si="0"/>
        <v>3</v>
      </c>
      <c r="C43" s="5">
        <f t="shared" si="1"/>
        <v>2004</v>
      </c>
      <c r="D43" s="7">
        <v>191722.94099999999</v>
      </c>
      <c r="E43" s="5">
        <v>4.0999999999999996</v>
      </c>
      <c r="F43" s="5">
        <f>AVERAGEIFS(Monthly!$E$5:$E$361,Monthly!$D$5:$D$361,Quarterly!C43,Monthly!$C$5:$C$361,Quarterly!B43)</f>
        <v>76.390572482433313</v>
      </c>
      <c r="G43" s="10">
        <v>104587.588</v>
      </c>
      <c r="H43" s="10">
        <v>46920.394</v>
      </c>
      <c r="I43" s="5">
        <v>40548.313000000002</v>
      </c>
      <c r="J43" s="5">
        <v>60989.042500000003</v>
      </c>
      <c r="K43" s="5">
        <v>59097.709000000003</v>
      </c>
      <c r="L43" s="5"/>
      <c r="M43" s="5"/>
      <c r="N43" s="9"/>
    </row>
    <row r="44" spans="1:14">
      <c r="A44" s="5" t="s">
        <v>61</v>
      </c>
      <c r="B44" s="5">
        <f t="shared" si="0"/>
        <v>4</v>
      </c>
      <c r="C44" s="5">
        <f t="shared" si="1"/>
        <v>2004</v>
      </c>
      <c r="D44" s="7">
        <v>193983.144</v>
      </c>
      <c r="E44" s="5">
        <v>4.0133330000000003</v>
      </c>
      <c r="F44" s="5">
        <f>AVERAGEIFS(Monthly!$E$5:$E$361,Monthly!$D$5:$D$361,Quarterly!C44,Monthly!$C$5:$C$361,Quarterly!B44)</f>
        <v>76.314687807766674</v>
      </c>
      <c r="G44" s="10">
        <v>107096.791</v>
      </c>
      <c r="H44" s="10">
        <v>46807.451000000001</v>
      </c>
      <c r="I44" s="5">
        <v>38728.023999999998</v>
      </c>
      <c r="J44" s="5">
        <v>63605.800999999999</v>
      </c>
      <c r="K44" s="5">
        <v>60529.156999999999</v>
      </c>
      <c r="L44" s="5"/>
      <c r="M44" s="5"/>
      <c r="N44" s="9"/>
    </row>
    <row r="45" spans="1:14">
      <c r="A45" s="5" t="s">
        <v>62</v>
      </c>
      <c r="B45" s="5">
        <f t="shared" si="0"/>
        <v>1</v>
      </c>
      <c r="C45" s="5">
        <f t="shared" si="1"/>
        <v>2005</v>
      </c>
      <c r="D45" s="7">
        <v>196366.31</v>
      </c>
      <c r="E45" s="5">
        <v>3.5571429999999999</v>
      </c>
      <c r="F45" s="5">
        <f>AVERAGEIFS(Monthly!$E$5:$E$361,Monthly!$D$5:$D$361,Quarterly!C45,Monthly!$C$5:$C$361,Quarterly!B45)</f>
        <v>75.935264434500013</v>
      </c>
      <c r="G45" s="10">
        <v>107467.514</v>
      </c>
      <c r="H45" s="10">
        <v>47456.197</v>
      </c>
      <c r="I45" s="5">
        <v>40283.392</v>
      </c>
      <c r="J45" s="5">
        <v>62435.152000000002</v>
      </c>
      <c r="K45" s="5">
        <v>60038.533000000003</v>
      </c>
      <c r="L45" s="5"/>
      <c r="M45" s="5"/>
      <c r="N45" s="9"/>
    </row>
    <row r="46" spans="1:14">
      <c r="A46" s="5" t="s">
        <v>63</v>
      </c>
      <c r="B46" s="5">
        <f t="shared" si="0"/>
        <v>2</v>
      </c>
      <c r="C46" s="5">
        <f t="shared" si="1"/>
        <v>2005</v>
      </c>
      <c r="D46" s="7">
        <v>198314.74900000001</v>
      </c>
      <c r="E46" s="5">
        <v>3.5</v>
      </c>
      <c r="F46" s="5">
        <f>AVERAGEIFS(Monthly!$E$5:$E$361,Monthly!$D$5:$D$361,Quarterly!C46,Monthly!$C$5:$C$361,Quarterly!B46)</f>
        <v>76.592931614866657</v>
      </c>
      <c r="G46" s="10">
        <v>108468.663</v>
      </c>
      <c r="H46" s="10">
        <v>47743.671000000002</v>
      </c>
      <c r="I46" s="5">
        <v>42260.383000000002</v>
      </c>
      <c r="J46" s="5">
        <v>63356.641799999998</v>
      </c>
      <c r="K46" s="5">
        <v>61493.851000000002</v>
      </c>
      <c r="L46" s="5"/>
      <c r="M46" s="5"/>
      <c r="N46" s="9"/>
    </row>
    <row r="47" spans="1:14">
      <c r="A47" s="5" t="s">
        <v>64</v>
      </c>
      <c r="B47" s="5">
        <f t="shared" si="0"/>
        <v>3</v>
      </c>
      <c r="C47" s="5">
        <f t="shared" si="1"/>
        <v>2005</v>
      </c>
      <c r="D47" s="7">
        <v>200703.30499999999</v>
      </c>
      <c r="E47" s="5">
        <v>3.5075759999999998</v>
      </c>
      <c r="F47" s="5">
        <f>AVERAGEIFS(Monthly!$E$5:$E$361,Monthly!$D$5:$D$361,Quarterly!C47,Monthly!$C$5:$C$361,Quarterly!B47)</f>
        <v>77.680611951533322</v>
      </c>
      <c r="G47" s="10">
        <v>109014.19100000001</v>
      </c>
      <c r="H47" s="10">
        <v>47836.125999999997</v>
      </c>
      <c r="I47" s="5">
        <v>43198.239000000001</v>
      </c>
      <c r="J47" s="5">
        <v>64257.386299999998</v>
      </c>
      <c r="K47" s="5">
        <v>61008.936000000002</v>
      </c>
      <c r="L47" s="5"/>
      <c r="M47" s="5"/>
      <c r="N47" s="9"/>
    </row>
    <row r="48" spans="1:14">
      <c r="A48" s="5" t="s">
        <v>65</v>
      </c>
      <c r="B48" s="5">
        <f t="shared" si="0"/>
        <v>4</v>
      </c>
      <c r="C48" s="5">
        <f t="shared" si="1"/>
        <v>2005</v>
      </c>
      <c r="D48" s="7">
        <v>204464.74299999999</v>
      </c>
      <c r="E48" s="5">
        <v>4.095237</v>
      </c>
      <c r="F48" s="5">
        <f>AVERAGEIFS(Monthly!$E$5:$E$361,Monthly!$D$5:$D$361,Quarterly!C48,Monthly!$C$5:$C$361,Quarterly!B48)</f>
        <v>78.287689348733338</v>
      </c>
      <c r="G48" s="10">
        <v>109017.372</v>
      </c>
      <c r="H48" s="10">
        <v>48331.137999999999</v>
      </c>
      <c r="I48" s="5">
        <v>44570.527999999998</v>
      </c>
      <c r="J48" s="5">
        <v>63999.756999999998</v>
      </c>
      <c r="K48" s="5">
        <v>59595.506999999998</v>
      </c>
      <c r="L48" s="5"/>
      <c r="M48" s="5"/>
      <c r="N48" s="9"/>
    </row>
    <row r="49" spans="1:14">
      <c r="A49" s="5" t="s">
        <v>66</v>
      </c>
      <c r="B49" s="5">
        <f t="shared" si="0"/>
        <v>1</v>
      </c>
      <c r="C49" s="5">
        <f t="shared" si="1"/>
        <v>2006</v>
      </c>
      <c r="D49" s="7">
        <v>207395.65400000001</v>
      </c>
      <c r="E49" s="5">
        <v>4.6890640000000001</v>
      </c>
      <c r="F49" s="5">
        <f>AVERAGEIFS(Monthly!$E$5:$E$361,Monthly!$D$5:$D$361,Quarterly!C49,Monthly!$C$5:$C$361,Quarterly!B49)</f>
        <v>78.312984240266658</v>
      </c>
      <c r="G49" s="10">
        <v>112348.72900000001</v>
      </c>
      <c r="H49" s="10">
        <v>47857.462</v>
      </c>
      <c r="I49" s="5">
        <v>47073.233999999997</v>
      </c>
      <c r="J49" s="5">
        <v>64169.537799999998</v>
      </c>
      <c r="K49" s="5">
        <v>62153.375</v>
      </c>
      <c r="L49" s="5"/>
      <c r="M49" s="5"/>
      <c r="N49" s="9"/>
    </row>
    <row r="50" spans="1:14">
      <c r="A50" s="5" t="s">
        <v>67</v>
      </c>
      <c r="B50" s="5">
        <f t="shared" si="0"/>
        <v>2</v>
      </c>
      <c r="C50" s="5">
        <f t="shared" si="1"/>
        <v>2006</v>
      </c>
      <c r="D50" s="7">
        <v>211270.141</v>
      </c>
      <c r="E50" s="5">
        <v>5.1749999999999998</v>
      </c>
      <c r="F50" s="5">
        <f>AVERAGEIFS(Monthly!$E$5:$E$361,Monthly!$D$5:$D$361,Quarterly!C50,Monthly!$C$5:$C$361,Quarterly!B50)</f>
        <v>79.324779902333333</v>
      </c>
      <c r="G50" s="10">
        <v>113152.307</v>
      </c>
      <c r="H50" s="10">
        <v>48324.767</v>
      </c>
      <c r="I50" s="5">
        <v>45700.756999999998</v>
      </c>
      <c r="J50" s="5">
        <v>68904.780299999999</v>
      </c>
      <c r="K50" s="5">
        <v>63086.097000000002</v>
      </c>
      <c r="L50" s="5"/>
      <c r="M50" s="5"/>
      <c r="N50" s="9"/>
    </row>
    <row r="51" spans="1:14">
      <c r="A51" s="5" t="s">
        <v>68</v>
      </c>
      <c r="B51" s="5">
        <f t="shared" si="0"/>
        <v>3</v>
      </c>
      <c r="C51" s="5">
        <f t="shared" si="1"/>
        <v>2006</v>
      </c>
      <c r="D51" s="7">
        <v>210061.53099999999</v>
      </c>
      <c r="E51" s="5">
        <v>5.4285709999999998</v>
      </c>
      <c r="F51" s="5">
        <f>AVERAGEIFS(Monthly!$E$5:$E$361,Monthly!$D$5:$D$361,Quarterly!C51,Monthly!$C$5:$C$361,Quarterly!B51)</f>
        <v>79.22360033613333</v>
      </c>
      <c r="G51" s="10">
        <v>113828.681</v>
      </c>
      <c r="H51" s="10">
        <v>49454.841</v>
      </c>
      <c r="I51" s="5">
        <v>41969.824000000001</v>
      </c>
      <c r="J51" s="5">
        <v>65294.791899999997</v>
      </c>
      <c r="K51" s="5">
        <v>58985.489000000001</v>
      </c>
      <c r="L51" s="5"/>
      <c r="M51" s="5"/>
      <c r="N51" s="9"/>
    </row>
    <row r="52" spans="1:14">
      <c r="A52" s="5" t="s">
        <v>69</v>
      </c>
      <c r="B52" s="5">
        <f t="shared" si="0"/>
        <v>4</v>
      </c>
      <c r="C52" s="5">
        <f t="shared" si="1"/>
        <v>2006</v>
      </c>
      <c r="D52" s="7">
        <v>213767.092</v>
      </c>
      <c r="E52" s="5">
        <v>5.2151870000000002</v>
      </c>
      <c r="F52" s="5">
        <f>AVERAGEIFS(Monthly!$E$5:$E$361,Monthly!$D$5:$D$361,Quarterly!C52,Monthly!$C$5:$C$361,Quarterly!B52)</f>
        <v>78.135919999400002</v>
      </c>
      <c r="G52" s="10">
        <v>116727.98</v>
      </c>
      <c r="H52" s="10">
        <v>49698.364000000001</v>
      </c>
      <c r="I52" s="5">
        <v>46980.493000000002</v>
      </c>
      <c r="J52" s="5">
        <v>68218.720199999996</v>
      </c>
      <c r="K52" s="5">
        <v>65762.823999999993</v>
      </c>
      <c r="L52" s="5"/>
      <c r="M52" s="5"/>
      <c r="N52" s="9"/>
    </row>
    <row r="53" spans="1:14">
      <c r="A53" s="5" t="s">
        <v>70</v>
      </c>
      <c r="B53" s="5">
        <f t="shared" si="0"/>
        <v>1</v>
      </c>
      <c r="C53" s="5">
        <f t="shared" si="1"/>
        <v>2007</v>
      </c>
      <c r="D53" s="7">
        <v>218158.524</v>
      </c>
      <c r="E53" s="5">
        <v>4.2499989999999999</v>
      </c>
      <c r="F53" s="5">
        <f>AVERAGEIFS(Monthly!$E$5:$E$361,Monthly!$D$5:$D$361,Quarterly!C53,Monthly!$C$5:$C$361,Quarterly!B53)</f>
        <v>77.875584975566667</v>
      </c>
      <c r="G53" s="10">
        <v>119180.685</v>
      </c>
      <c r="H53" s="10">
        <v>49648.031999999999</v>
      </c>
      <c r="I53" s="5">
        <v>45145.673999999999</v>
      </c>
      <c r="J53" s="5">
        <v>71358.037299999996</v>
      </c>
      <c r="K53" s="5">
        <v>66153.986000000004</v>
      </c>
      <c r="L53" s="5"/>
      <c r="M53" s="5"/>
      <c r="N53" s="9"/>
    </row>
    <row r="54" spans="1:14">
      <c r="A54" s="5" t="s">
        <v>71</v>
      </c>
      <c r="B54" s="5">
        <f t="shared" si="0"/>
        <v>2</v>
      </c>
      <c r="C54" s="5">
        <f t="shared" si="1"/>
        <v>2007</v>
      </c>
      <c r="D54" s="7">
        <v>221329.35800000001</v>
      </c>
      <c r="E54" s="5">
        <v>3.7344719999999998</v>
      </c>
      <c r="F54" s="5">
        <f>AVERAGEIFS(Monthly!$E$5:$E$361,Monthly!$D$5:$D$361,Quarterly!C54,Monthly!$C$5:$C$361,Quarterly!B54)</f>
        <v>78.479475216500006</v>
      </c>
      <c r="G54" s="10">
        <v>125292.94500000001</v>
      </c>
      <c r="H54" s="10">
        <v>51045.915999999997</v>
      </c>
      <c r="I54" s="5">
        <v>42929.669000000002</v>
      </c>
      <c r="J54" s="5">
        <v>73260.159499999994</v>
      </c>
      <c r="K54" s="5">
        <v>67774.278999999995</v>
      </c>
      <c r="L54" s="5"/>
      <c r="M54" s="5"/>
      <c r="N54" s="9"/>
    </row>
    <row r="55" spans="1:14">
      <c r="A55" s="5" t="s">
        <v>72</v>
      </c>
      <c r="B55" s="5">
        <f t="shared" si="0"/>
        <v>3</v>
      </c>
      <c r="C55" s="5">
        <f t="shared" si="1"/>
        <v>2007</v>
      </c>
      <c r="D55" s="7">
        <v>225848.36499999999</v>
      </c>
      <c r="E55" s="5">
        <v>3.7723969999999998</v>
      </c>
      <c r="F55" s="5">
        <f>AVERAGEIFS(Monthly!$E$5:$E$361,Monthly!$D$5:$D$361,Quarterly!C55,Monthly!$C$5:$C$361,Quarterly!B55)</f>
        <v>79.949816672533331</v>
      </c>
      <c r="G55" s="10">
        <v>122592.652</v>
      </c>
      <c r="H55" s="10">
        <v>50955.838000000003</v>
      </c>
      <c r="I55" s="5">
        <v>51678.875</v>
      </c>
      <c r="J55" s="5">
        <v>73457.716</v>
      </c>
      <c r="K55" s="5">
        <v>70425.607000000004</v>
      </c>
      <c r="L55" s="5"/>
      <c r="M55" s="5"/>
      <c r="N55" s="9"/>
    </row>
    <row r="56" spans="1:14">
      <c r="A56" s="5" t="s">
        <v>73</v>
      </c>
      <c r="B56" s="5">
        <f t="shared" si="0"/>
        <v>4</v>
      </c>
      <c r="C56" s="5">
        <f t="shared" si="1"/>
        <v>2007</v>
      </c>
      <c r="D56" s="7">
        <v>229623.71</v>
      </c>
      <c r="E56" s="5">
        <v>4.0119049999999996</v>
      </c>
      <c r="F56" s="5">
        <f>AVERAGEIFS(Monthly!$E$5:$E$361,Monthly!$D$5:$D$361,Quarterly!C56,Monthly!$C$5:$C$361,Quarterly!B56)</f>
        <v>80.317402036533338</v>
      </c>
      <c r="G56" s="10">
        <v>123782.788</v>
      </c>
      <c r="H56" s="10">
        <v>50874.243000000002</v>
      </c>
      <c r="I56" s="5">
        <v>52215.1</v>
      </c>
      <c r="J56" s="5">
        <v>77410.410799999998</v>
      </c>
      <c r="K56" s="5">
        <v>72951.532999999996</v>
      </c>
      <c r="L56" s="5"/>
      <c r="M56" s="5"/>
      <c r="N56" s="9"/>
    </row>
    <row r="57" spans="1:14">
      <c r="A57" s="5" t="s">
        <v>74</v>
      </c>
      <c r="B57" s="5">
        <f t="shared" si="0"/>
        <v>1</v>
      </c>
      <c r="C57" s="5">
        <f t="shared" si="1"/>
        <v>2008</v>
      </c>
      <c r="D57" s="7">
        <v>230338.17600000001</v>
      </c>
      <c r="E57" s="5">
        <v>4.0436500000000004</v>
      </c>
      <c r="F57" s="5">
        <f>AVERAGEIFS(Monthly!$E$5:$E$361,Monthly!$D$5:$D$361,Quarterly!C57,Monthly!$C$5:$C$361,Quarterly!B57)</f>
        <v>80.711243497966663</v>
      </c>
      <c r="G57" s="10">
        <v>123861.075</v>
      </c>
      <c r="H57" s="10">
        <v>51220.61</v>
      </c>
      <c r="I57" s="5">
        <v>49650.447999999997</v>
      </c>
      <c r="J57" s="5">
        <v>81535.714500000002</v>
      </c>
      <c r="K57" s="5">
        <v>73764.990000000005</v>
      </c>
      <c r="L57" s="5"/>
      <c r="M57" s="5"/>
      <c r="N57" s="9"/>
    </row>
    <row r="58" spans="1:14">
      <c r="A58" s="5" t="s">
        <v>75</v>
      </c>
      <c r="B58" s="5">
        <f t="shared" si="0"/>
        <v>2</v>
      </c>
      <c r="C58" s="5">
        <f t="shared" si="1"/>
        <v>2008</v>
      </c>
      <c r="D58" s="7">
        <v>230932.802</v>
      </c>
      <c r="E58" s="5">
        <v>3.352814</v>
      </c>
      <c r="F58" s="5">
        <f>AVERAGEIFS(Monthly!$E$5:$E$361,Monthly!$D$5:$D$361,Quarterly!C58,Monthly!$C$5:$C$361,Quarterly!B58)</f>
        <v>82.391633733433324</v>
      </c>
      <c r="G58" s="10">
        <v>125090.674</v>
      </c>
      <c r="H58" s="10">
        <v>51206.014999999999</v>
      </c>
      <c r="I58" s="5">
        <v>48852.881000000001</v>
      </c>
      <c r="J58" s="5">
        <v>80004.169299999994</v>
      </c>
      <c r="K58" s="5">
        <v>73041.154999999999</v>
      </c>
      <c r="L58" s="5"/>
      <c r="M58" s="5"/>
      <c r="N58" s="9"/>
    </row>
    <row r="59" spans="1:14">
      <c r="A59" s="5" t="s">
        <v>76</v>
      </c>
      <c r="B59" s="5">
        <f t="shared" si="0"/>
        <v>3</v>
      </c>
      <c r="C59" s="5">
        <f t="shared" si="1"/>
        <v>2008</v>
      </c>
      <c r="D59" s="7">
        <v>231407.35500000001</v>
      </c>
      <c r="E59" s="5">
        <v>4.0115590000000001</v>
      </c>
      <c r="F59" s="5">
        <f>AVERAGEIFS(Monthly!$E$5:$E$361,Monthly!$D$5:$D$361,Quarterly!C59,Monthly!$C$5:$C$361,Quarterly!B59)</f>
        <v>84.045767871533329</v>
      </c>
      <c r="G59" s="10">
        <v>125585.933</v>
      </c>
      <c r="H59" s="10">
        <v>51300.938999999998</v>
      </c>
      <c r="I59" s="5">
        <v>48739.838000000003</v>
      </c>
      <c r="J59" s="5">
        <v>79405.651599999997</v>
      </c>
      <c r="K59" s="5">
        <v>71604.828999999998</v>
      </c>
      <c r="L59" s="5"/>
      <c r="M59" s="5"/>
      <c r="N59" s="9"/>
    </row>
    <row r="60" spans="1:14">
      <c r="A60" s="5" t="s">
        <v>77</v>
      </c>
      <c r="B60" s="5">
        <f t="shared" si="0"/>
        <v>4</v>
      </c>
      <c r="C60" s="5">
        <f t="shared" si="1"/>
        <v>2008</v>
      </c>
      <c r="D60" s="7">
        <v>230124.16699999999</v>
      </c>
      <c r="E60" s="5">
        <v>3.1923870000000001</v>
      </c>
      <c r="F60" s="5">
        <f>AVERAGEIFS(Monthly!$E$5:$E$361,Monthly!$D$5:$D$361,Quarterly!C60,Monthly!$C$5:$C$361,Quarterly!B60)</f>
        <v>84.019511774066657</v>
      </c>
      <c r="G60" s="10">
        <v>124242.224</v>
      </c>
      <c r="H60" s="10">
        <v>51759.586000000003</v>
      </c>
      <c r="I60" s="5">
        <v>48974.642999999996</v>
      </c>
      <c r="J60" s="5">
        <v>71930.60990000001</v>
      </c>
      <c r="K60" s="5">
        <v>65758.574999999997</v>
      </c>
      <c r="L60" s="5"/>
      <c r="M60" s="5"/>
      <c r="N60" s="9"/>
    </row>
    <row r="61" spans="1:14">
      <c r="A61" s="5" t="s">
        <v>78</v>
      </c>
      <c r="B61" s="5">
        <f t="shared" si="0"/>
        <v>1</v>
      </c>
      <c r="C61" s="5">
        <f t="shared" si="1"/>
        <v>2009</v>
      </c>
      <c r="D61" s="7">
        <v>230855.91699999999</v>
      </c>
      <c r="E61" s="5">
        <v>1.120452</v>
      </c>
      <c r="F61" s="5">
        <f>AVERAGEIFS(Monthly!$E$5:$E$361,Monthly!$D$5:$D$361,Quarterly!C61,Monthly!$C$5:$C$361,Quarterly!B61)</f>
        <v>83.447758996466675</v>
      </c>
      <c r="G61" s="10">
        <v>124087.75199999999</v>
      </c>
      <c r="H61" s="10">
        <v>52596.285000000003</v>
      </c>
      <c r="I61" s="5">
        <v>48971.406000000003</v>
      </c>
      <c r="J61" s="5">
        <v>64896.424799999993</v>
      </c>
      <c r="K61" s="5">
        <v>58987.627999999997</v>
      </c>
      <c r="L61" s="5"/>
      <c r="M61" s="5"/>
      <c r="N61" s="9"/>
    </row>
    <row r="62" spans="1:14">
      <c r="A62" s="5" t="s">
        <v>79</v>
      </c>
      <c r="B62" s="5">
        <f t="shared" si="0"/>
        <v>2</v>
      </c>
      <c r="C62" s="5">
        <f t="shared" si="1"/>
        <v>2009</v>
      </c>
      <c r="D62" s="7">
        <v>232978.16</v>
      </c>
      <c r="E62" s="5">
        <v>0.5</v>
      </c>
      <c r="F62" s="5">
        <f>AVERAGEIFS(Monthly!$E$5:$E$361,Monthly!$D$5:$D$361,Quarterly!C62,Monthly!$C$5:$C$361,Quarterly!B62)</f>
        <v>84.993087866766658</v>
      </c>
      <c r="G62" s="10">
        <v>124952.49099999999</v>
      </c>
      <c r="H62" s="10">
        <v>53323.743999999999</v>
      </c>
      <c r="I62" s="5">
        <v>48027.207000000002</v>
      </c>
      <c r="J62" s="5">
        <v>67367.448999999993</v>
      </c>
      <c r="K62" s="5">
        <v>59439.108</v>
      </c>
      <c r="L62" s="5"/>
      <c r="M62" s="5"/>
      <c r="N62" s="9"/>
    </row>
    <row r="63" spans="1:14">
      <c r="A63" s="5" t="s">
        <v>80</v>
      </c>
      <c r="B63" s="5">
        <f t="shared" si="0"/>
        <v>3</v>
      </c>
      <c r="C63" s="5">
        <f t="shared" si="1"/>
        <v>2009</v>
      </c>
      <c r="D63" s="7">
        <v>234806.32800000001</v>
      </c>
      <c r="E63" s="5">
        <v>0.59523800000000004</v>
      </c>
      <c r="F63" s="5">
        <f>AVERAGEIFS(Monthly!$E$5:$E$361,Monthly!$D$5:$D$361,Quarterly!C63,Monthly!$C$5:$C$361,Quarterly!B63)</f>
        <v>86.703987687466665</v>
      </c>
      <c r="G63" s="10">
        <v>127122.51</v>
      </c>
      <c r="H63" s="10">
        <v>53971.256999999998</v>
      </c>
      <c r="I63" s="5">
        <v>46686.502</v>
      </c>
      <c r="J63" s="5">
        <v>68067.715500000006</v>
      </c>
      <c r="K63" s="5">
        <v>62165.425000000003</v>
      </c>
      <c r="L63" s="5"/>
      <c r="M63" s="5"/>
      <c r="N63" s="9"/>
    </row>
    <row r="64" spans="1:14">
      <c r="A64" s="5" t="s">
        <v>81</v>
      </c>
      <c r="B64" s="5">
        <f t="shared" si="0"/>
        <v>4</v>
      </c>
      <c r="C64" s="5">
        <f t="shared" si="1"/>
        <v>2009</v>
      </c>
      <c r="D64" s="7">
        <v>237346.15400000001</v>
      </c>
      <c r="E64" s="5">
        <v>0.84886099999999998</v>
      </c>
      <c r="F64" s="5">
        <f>AVERAGEIFS(Monthly!$E$5:$E$361,Monthly!$D$5:$D$361,Quarterly!C64,Monthly!$C$5:$C$361,Quarterly!B64)</f>
        <v>87.007534429799989</v>
      </c>
      <c r="G64" s="10">
        <v>129323.97500000001</v>
      </c>
      <c r="H64" s="10">
        <v>54182.087</v>
      </c>
      <c r="I64" s="5">
        <v>45605.373</v>
      </c>
      <c r="J64" s="5">
        <v>74333.319599999988</v>
      </c>
      <c r="K64" s="5">
        <v>65037.555999999997</v>
      </c>
      <c r="L64" s="5"/>
      <c r="M64" s="5"/>
      <c r="N64" s="9"/>
    </row>
    <row r="65" spans="1:14">
      <c r="A65" s="5" t="s">
        <v>82</v>
      </c>
      <c r="B65" s="5">
        <f t="shared" si="0"/>
        <v>1</v>
      </c>
      <c r="C65" s="5">
        <f t="shared" si="1"/>
        <v>2010</v>
      </c>
      <c r="D65" s="7">
        <v>241273.77900000001</v>
      </c>
      <c r="E65" s="5">
        <v>1.25</v>
      </c>
      <c r="F65" s="5">
        <f>AVERAGEIFS(Monthly!$E$5:$E$361,Monthly!$D$5:$D$361,Quarterly!C65,Monthly!$C$5:$C$361,Quarterly!B65)</f>
        <v>86.372845786699997</v>
      </c>
      <c r="G65" s="10">
        <v>129622.535</v>
      </c>
      <c r="H65" s="10">
        <v>54421.792000000001</v>
      </c>
      <c r="I65" s="5">
        <v>48509.203000000001</v>
      </c>
      <c r="J65" s="5">
        <v>77599.42809999999</v>
      </c>
      <c r="K65" s="5">
        <v>67699.748999999996</v>
      </c>
      <c r="L65" s="5"/>
      <c r="M65" s="5"/>
      <c r="N65" s="9"/>
    </row>
    <row r="66" spans="1:14">
      <c r="A66" s="5" t="s">
        <v>83</v>
      </c>
      <c r="B66" s="5">
        <f t="shared" si="0"/>
        <v>2</v>
      </c>
      <c r="C66" s="5">
        <f t="shared" si="1"/>
        <v>2010</v>
      </c>
      <c r="D66" s="7">
        <v>245133.731</v>
      </c>
      <c r="E66" s="5">
        <v>1.5</v>
      </c>
      <c r="F66" s="5">
        <f>AVERAGEIFS(Monthly!$E$5:$E$361,Monthly!$D$5:$D$361,Quarterly!C66,Monthly!$C$5:$C$361,Quarterly!B66)</f>
        <v>87.393866647400003</v>
      </c>
      <c r="G66" s="10">
        <v>130731.141</v>
      </c>
      <c r="H66" s="10">
        <v>54508.375</v>
      </c>
      <c r="I66" s="5">
        <v>50316.925000000003</v>
      </c>
      <c r="J66" s="5">
        <v>80406.625700000004</v>
      </c>
      <c r="K66" s="5">
        <v>69455.349000000002</v>
      </c>
      <c r="L66" s="5"/>
      <c r="M66" s="5"/>
      <c r="N66" s="9"/>
    </row>
    <row r="67" spans="1:14">
      <c r="A67" s="5" t="s">
        <v>84</v>
      </c>
      <c r="B67" s="5">
        <f t="shared" si="0"/>
        <v>3</v>
      </c>
      <c r="C67" s="5">
        <f t="shared" si="1"/>
        <v>2010</v>
      </c>
      <c r="D67" s="7">
        <v>247704.995</v>
      </c>
      <c r="E67" s="5">
        <v>1.6780299999999999</v>
      </c>
      <c r="F67" s="5">
        <f>AVERAGEIFS(Monthly!$E$5:$E$361,Monthly!$D$5:$D$361,Quarterly!C67,Monthly!$C$5:$C$361,Quarterly!B67)</f>
        <v>88.442482666533351</v>
      </c>
      <c r="G67" s="10">
        <v>133265.296</v>
      </c>
      <c r="H67" s="10">
        <v>54822.928</v>
      </c>
      <c r="I67" s="5">
        <v>52092.712</v>
      </c>
      <c r="J67" s="5">
        <v>79000.823599999989</v>
      </c>
      <c r="K67" s="5">
        <v>70926.455000000002</v>
      </c>
      <c r="L67" s="5"/>
      <c r="M67" s="5"/>
      <c r="N67" s="9"/>
    </row>
    <row r="68" spans="1:14">
      <c r="A68" s="5" t="s">
        <v>85</v>
      </c>
      <c r="B68" s="5">
        <f t="shared" si="0"/>
        <v>4</v>
      </c>
      <c r="C68" s="5">
        <f t="shared" si="1"/>
        <v>2010</v>
      </c>
      <c r="D68" s="7">
        <v>251672.845</v>
      </c>
      <c r="E68" s="5">
        <v>2</v>
      </c>
      <c r="F68" s="5">
        <f>AVERAGEIFS(Monthly!$E$5:$E$361,Monthly!$D$5:$D$361,Quarterly!C68,Monthly!$C$5:$C$361,Quarterly!B68)</f>
        <v>89.15995678489999</v>
      </c>
      <c r="G68" s="10">
        <v>135689.51300000001</v>
      </c>
      <c r="H68" s="10">
        <v>55553.033000000003</v>
      </c>
      <c r="I68" s="5">
        <v>54645.588000000003</v>
      </c>
      <c r="J68" s="5">
        <v>82094.027000000002</v>
      </c>
      <c r="K68" s="5">
        <v>75383.017000000007</v>
      </c>
      <c r="L68" s="5"/>
      <c r="M68" s="5"/>
      <c r="N68" s="9"/>
    </row>
    <row r="69" spans="1:14">
      <c r="A69" s="5" t="s">
        <v>86</v>
      </c>
      <c r="B69" s="5">
        <f t="shared" si="0"/>
        <v>1</v>
      </c>
      <c r="C69" s="5">
        <f t="shared" si="1"/>
        <v>2011</v>
      </c>
      <c r="D69" s="7">
        <v>256061.70800000001</v>
      </c>
      <c r="E69" s="5">
        <v>2.2816510000000001</v>
      </c>
      <c r="F69" s="5">
        <f>AVERAGEIFS(Monthly!$E$5:$E$361,Monthly!$D$5:$D$361,Quarterly!C69,Monthly!$C$5:$C$361,Quarterly!B69)</f>
        <v>89.826324669899989</v>
      </c>
      <c r="G69" s="10">
        <v>137742.323</v>
      </c>
      <c r="H69" s="10">
        <v>56024.163999999997</v>
      </c>
      <c r="I69" s="5">
        <v>55947.124000000003</v>
      </c>
      <c r="J69" s="5">
        <v>84636.846900000004</v>
      </c>
      <c r="K69" s="5">
        <v>76796.163</v>
      </c>
      <c r="L69" s="5"/>
      <c r="M69" s="5"/>
      <c r="N69" s="9"/>
    </row>
    <row r="70" spans="1:14">
      <c r="A70" s="5" t="s">
        <v>87</v>
      </c>
      <c r="B70" s="5">
        <f t="shared" ref="B70:B125" si="2">_xlfn.NUMBERVALUE(RIGHT(A70,1))</f>
        <v>2</v>
      </c>
      <c r="C70" s="5">
        <f t="shared" ref="C70:C125" si="3">_xlfn.NUMBERVALUE(LEFT(A70,4))</f>
        <v>2011</v>
      </c>
      <c r="D70" s="7">
        <v>258477.33900000001</v>
      </c>
      <c r="E70" s="5">
        <v>3.0984850000000002</v>
      </c>
      <c r="F70" s="5">
        <f>AVERAGEIFS(Monthly!$E$5:$E$361,Monthly!$D$5:$D$361,Quarterly!C70,Monthly!$C$5:$C$361,Quarterly!B70)</f>
        <v>90.968184729266667</v>
      </c>
      <c r="G70" s="10">
        <v>137420.82199999999</v>
      </c>
      <c r="H70" s="10">
        <v>56406.086000000003</v>
      </c>
      <c r="I70" s="5">
        <v>58512.747000000003</v>
      </c>
      <c r="J70" s="5">
        <v>87321.435700000002</v>
      </c>
      <c r="K70" s="5">
        <v>79223.797999999995</v>
      </c>
      <c r="L70" s="5"/>
      <c r="M70" s="5"/>
      <c r="N70" s="9"/>
    </row>
    <row r="71" spans="1:14">
      <c r="A71" s="5" t="s">
        <v>88</v>
      </c>
      <c r="B71" s="5">
        <f t="shared" si="2"/>
        <v>3</v>
      </c>
      <c r="C71" s="5">
        <f t="shared" si="3"/>
        <v>2011</v>
      </c>
      <c r="D71" s="7">
        <v>263513.31</v>
      </c>
      <c r="E71" s="5">
        <v>3.25</v>
      </c>
      <c r="F71" s="5">
        <f>AVERAGEIFS(Monthly!$E$5:$E$361,Monthly!$D$5:$D$361,Quarterly!C71,Monthly!$C$5:$C$361,Quarterly!B71)</f>
        <v>91.319526285999999</v>
      </c>
      <c r="G71" s="10">
        <v>138251.49</v>
      </c>
      <c r="H71" s="10">
        <v>56995.633999999998</v>
      </c>
      <c r="I71" s="5">
        <v>60655.845000000001</v>
      </c>
      <c r="J71" s="5">
        <v>87210.991900000008</v>
      </c>
      <c r="K71" s="5">
        <v>78667.319000000003</v>
      </c>
      <c r="L71" s="5"/>
      <c r="M71" s="5"/>
      <c r="N71" s="9"/>
    </row>
    <row r="72" spans="1:14">
      <c r="A72" s="5" t="s">
        <v>89</v>
      </c>
      <c r="B72" s="5">
        <f t="shared" si="2"/>
        <v>4</v>
      </c>
      <c r="C72" s="5">
        <f t="shared" si="3"/>
        <v>2011</v>
      </c>
      <c r="D72" s="7">
        <v>265188.54399999999</v>
      </c>
      <c r="E72" s="5">
        <v>2.9166660000000002</v>
      </c>
      <c r="F72" s="5">
        <f>AVERAGEIFS(Monthly!$E$5:$E$361,Monthly!$D$5:$D$361,Quarterly!C72,Monthly!$C$5:$C$361,Quarterly!B72)</f>
        <v>91.378083212133333</v>
      </c>
      <c r="G72" s="10">
        <v>138349.65700000001</v>
      </c>
      <c r="H72" s="10">
        <v>57206.048999999999</v>
      </c>
      <c r="I72" s="5">
        <v>63243.631999999998</v>
      </c>
      <c r="J72" s="5">
        <v>86337.296099999992</v>
      </c>
      <c r="K72" s="5">
        <v>80012.845000000001</v>
      </c>
      <c r="L72" s="5"/>
      <c r="M72" s="5"/>
      <c r="N72" s="9"/>
    </row>
    <row r="73" spans="1:14">
      <c r="A73" s="5" t="s">
        <v>90</v>
      </c>
      <c r="B73" s="5">
        <f t="shared" si="2"/>
        <v>1</v>
      </c>
      <c r="C73" s="5">
        <f t="shared" si="3"/>
        <v>2012</v>
      </c>
      <c r="D73" s="7">
        <v>263107.41899999999</v>
      </c>
      <c r="E73" s="5">
        <v>2.5681820000000002</v>
      </c>
      <c r="F73" s="5">
        <f>AVERAGEIFS(Monthly!$E$5:$E$361,Monthly!$D$5:$D$361,Quarterly!C73,Monthly!$C$5:$C$361,Quarterly!B73)</f>
        <v>91.465918601333328</v>
      </c>
      <c r="G73" s="10">
        <v>139771.07500000001</v>
      </c>
      <c r="H73" s="10">
        <v>57218.966</v>
      </c>
      <c r="I73" s="5">
        <v>70690.284</v>
      </c>
      <c r="J73" s="5">
        <v>80726.190499999997</v>
      </c>
      <c r="K73" s="5">
        <v>83404.78</v>
      </c>
      <c r="L73" s="5"/>
      <c r="M73" s="5"/>
      <c r="N73" s="9"/>
    </row>
    <row r="74" spans="1:14">
      <c r="A74" s="5" t="s">
        <v>91</v>
      </c>
      <c r="B74" s="5">
        <f t="shared" si="2"/>
        <v>2</v>
      </c>
      <c r="C74" s="5">
        <f t="shared" si="3"/>
        <v>2012</v>
      </c>
      <c r="D74" s="7">
        <v>265552.20400000003</v>
      </c>
      <c r="E74" s="5">
        <v>2.4920629999999999</v>
      </c>
      <c r="F74" s="5">
        <f>AVERAGEIFS(Monthly!$E$5:$E$361,Monthly!$D$5:$D$361,Quarterly!C74,Monthly!$C$5:$C$361,Quarterly!B74)</f>
        <v>92.402829419233328</v>
      </c>
      <c r="G74" s="10">
        <v>140712.217</v>
      </c>
      <c r="H74" s="10">
        <v>58249.43</v>
      </c>
      <c r="I74" s="5">
        <v>59415.239000000001</v>
      </c>
      <c r="J74" s="5">
        <v>90459.830499999996</v>
      </c>
      <c r="K74" s="5">
        <v>81619.434999999998</v>
      </c>
      <c r="L74" s="5"/>
      <c r="M74" s="5"/>
      <c r="N74" s="9"/>
    </row>
    <row r="75" spans="1:14">
      <c r="A75" s="5" t="s">
        <v>92</v>
      </c>
      <c r="B75" s="5">
        <f t="shared" si="2"/>
        <v>3</v>
      </c>
      <c r="C75" s="5">
        <f t="shared" si="3"/>
        <v>2012</v>
      </c>
      <c r="D75" s="7">
        <v>268651.08299999998</v>
      </c>
      <c r="E75" s="5">
        <v>2.25</v>
      </c>
      <c r="F75" s="5">
        <f>AVERAGEIFS(Monthly!$E$5:$E$361,Monthly!$D$5:$D$361,Quarterly!C75,Monthly!$C$5:$C$361,Quarterly!B75)</f>
        <v>92.959120217433338</v>
      </c>
      <c r="G75" s="10">
        <v>140958.962</v>
      </c>
      <c r="H75" s="10">
        <v>58257.61</v>
      </c>
      <c r="I75" s="5">
        <v>61532.171999999999</v>
      </c>
      <c r="J75" s="5">
        <v>87329.102099999989</v>
      </c>
      <c r="K75" s="5">
        <v>78707.108999999997</v>
      </c>
      <c r="L75" s="5"/>
      <c r="M75" s="5"/>
      <c r="N75" s="9"/>
    </row>
    <row r="76" spans="1:14">
      <c r="A76" s="5" t="s">
        <v>93</v>
      </c>
      <c r="B76" s="5">
        <f t="shared" si="2"/>
        <v>4</v>
      </c>
      <c r="C76" s="5">
        <f t="shared" si="3"/>
        <v>2012</v>
      </c>
      <c r="D76" s="7">
        <v>269025.821</v>
      </c>
      <c r="E76" s="5">
        <v>2.071428</v>
      </c>
      <c r="F76" s="5">
        <f>AVERAGEIFS(Monthly!$E$5:$E$361,Monthly!$D$5:$D$361,Quarterly!C76,Monthly!$C$5:$C$361,Quarterly!B76)</f>
        <v>92.871284828200018</v>
      </c>
      <c r="G76" s="10">
        <v>142460.89600000001</v>
      </c>
      <c r="H76" s="10">
        <v>59461.972999999998</v>
      </c>
      <c r="I76" s="5">
        <v>60773.428</v>
      </c>
      <c r="J76" s="5">
        <v>84084.59629999999</v>
      </c>
      <c r="K76" s="5">
        <v>77081.785000000003</v>
      </c>
      <c r="L76" s="5"/>
      <c r="M76" s="5"/>
      <c r="N76" s="9"/>
    </row>
    <row r="77" spans="1:14">
      <c r="A77" s="5" t="s">
        <v>94</v>
      </c>
      <c r="B77" s="5">
        <f t="shared" si="2"/>
        <v>1</v>
      </c>
      <c r="C77" s="5">
        <f t="shared" si="3"/>
        <v>2013</v>
      </c>
      <c r="D77" s="7">
        <v>272616.86099999998</v>
      </c>
      <c r="E77" s="5">
        <v>1.75</v>
      </c>
      <c r="F77" s="5">
        <f>AVERAGEIFS(Monthly!$E$5:$E$361,Monthly!$D$5:$D$361,Quarterly!C77,Monthly!$C$5:$C$361,Quarterly!B77)</f>
        <v>92.741639793766652</v>
      </c>
      <c r="G77" s="10">
        <v>143430.91099999999</v>
      </c>
      <c r="H77" s="10">
        <v>59770.023000000001</v>
      </c>
      <c r="I77" s="5">
        <v>58586.39</v>
      </c>
      <c r="J77" s="5">
        <v>90053.510200000004</v>
      </c>
      <c r="K77" s="5">
        <v>78181.293999999994</v>
      </c>
      <c r="L77" s="5"/>
      <c r="M77" s="5"/>
      <c r="N77" s="9"/>
    </row>
    <row r="78" spans="1:14">
      <c r="A78" s="5" t="s">
        <v>95</v>
      </c>
      <c r="B78" s="5">
        <f t="shared" si="2"/>
        <v>2</v>
      </c>
      <c r="C78" s="5">
        <f t="shared" si="3"/>
        <v>2013</v>
      </c>
      <c r="D78" s="7">
        <v>276979.64500000002</v>
      </c>
      <c r="E78" s="5">
        <v>1.5362309999999999</v>
      </c>
      <c r="F78" s="5">
        <f>AVERAGEIFS(Monthly!$E$5:$E$361,Monthly!$D$5:$D$361,Quarterly!C78,Monthly!$C$5:$C$361,Quarterly!B78)</f>
        <v>93.542464315399982</v>
      </c>
      <c r="G78" s="10">
        <v>145660.14600000001</v>
      </c>
      <c r="H78" s="10">
        <v>60497.421000000002</v>
      </c>
      <c r="I78" s="5">
        <v>60502.345000000001</v>
      </c>
      <c r="J78" s="5">
        <v>93001.844599999997</v>
      </c>
      <c r="K78" s="5">
        <v>80963.142999999996</v>
      </c>
      <c r="L78" s="5"/>
      <c r="M78" s="5"/>
      <c r="N78" s="9"/>
    </row>
    <row r="79" spans="1:14">
      <c r="A79" s="5" t="s">
        <v>96</v>
      </c>
      <c r="B79" s="5">
        <f t="shared" si="2"/>
        <v>3</v>
      </c>
      <c r="C79" s="5">
        <f t="shared" si="3"/>
        <v>2013</v>
      </c>
      <c r="D79" s="7">
        <v>279680.65600000002</v>
      </c>
      <c r="E79" s="5">
        <v>1.2420629999999999</v>
      </c>
      <c r="F79" s="5">
        <f>AVERAGEIFS(Monthly!$E$5:$E$361,Monthly!$D$5:$D$361,Quarterly!C79,Monthly!$C$5:$C$361,Quarterly!B79)</f>
        <v>94.466492609599996</v>
      </c>
      <c r="G79" s="10">
        <v>146699.08900000001</v>
      </c>
      <c r="H79" s="10">
        <v>61095.883999999998</v>
      </c>
      <c r="I79" s="5">
        <v>64513.214</v>
      </c>
      <c r="J79" s="5">
        <v>90713.680599999992</v>
      </c>
      <c r="K79" s="5">
        <v>82740.633000000002</v>
      </c>
      <c r="L79" s="5"/>
      <c r="M79" s="5"/>
      <c r="N79" s="9"/>
    </row>
    <row r="80" spans="1:14">
      <c r="A80" s="5" t="s">
        <v>97</v>
      </c>
      <c r="B80" s="5">
        <f t="shared" si="2"/>
        <v>4</v>
      </c>
      <c r="C80" s="5">
        <f t="shared" si="3"/>
        <v>2013</v>
      </c>
      <c r="D80" s="7">
        <v>282139.85399999999</v>
      </c>
      <c r="E80" s="5">
        <v>1</v>
      </c>
      <c r="F80" s="5">
        <f>AVERAGEIFS(Monthly!$E$5:$E$361,Monthly!$D$5:$D$361,Quarterly!C80,Monthly!$C$5:$C$361,Quarterly!B80)</f>
        <v>94.589696382166665</v>
      </c>
      <c r="G80" s="10">
        <v>147279.283</v>
      </c>
      <c r="H80" s="10">
        <v>61118.874000000003</v>
      </c>
      <c r="I80" s="5">
        <v>62757.843000000001</v>
      </c>
      <c r="J80" s="5">
        <v>92313.831000000006</v>
      </c>
      <c r="K80" s="5">
        <v>81240.722999999998</v>
      </c>
      <c r="L80" s="5"/>
      <c r="M80" s="5"/>
      <c r="N80" s="9"/>
    </row>
    <row r="81" spans="1:14">
      <c r="A81" s="5" t="s">
        <v>98</v>
      </c>
      <c r="B81" s="5">
        <f t="shared" si="2"/>
        <v>1</v>
      </c>
      <c r="C81" s="5">
        <f t="shared" si="3"/>
        <v>2014</v>
      </c>
      <c r="D81" s="7">
        <v>286255.076</v>
      </c>
      <c r="E81" s="5">
        <v>0.90833299999999995</v>
      </c>
      <c r="F81" s="5">
        <f>AVERAGEIFS(Monthly!$E$5:$E$361,Monthly!$D$5:$D$361,Quarterly!C81,Monthly!$C$5:$C$361,Quarterly!B81)</f>
        <v>93.942876576233331</v>
      </c>
      <c r="G81" s="10">
        <v>148705.02100000001</v>
      </c>
      <c r="H81" s="10">
        <v>61855.963000000003</v>
      </c>
      <c r="I81" s="5">
        <v>66391.399999999994</v>
      </c>
      <c r="J81" s="5">
        <v>93328.907800000001</v>
      </c>
      <c r="K81" s="5">
        <v>82683.411999999997</v>
      </c>
      <c r="L81" s="5"/>
      <c r="M81" s="5"/>
      <c r="N81" s="9"/>
    </row>
    <row r="82" spans="1:14">
      <c r="A82" s="5" t="s">
        <v>99</v>
      </c>
      <c r="B82" s="5">
        <f t="shared" si="2"/>
        <v>2</v>
      </c>
      <c r="C82" s="5">
        <f t="shared" si="3"/>
        <v>2014</v>
      </c>
      <c r="D82" s="7">
        <v>287612.391</v>
      </c>
      <c r="E82" s="5">
        <v>0.75</v>
      </c>
      <c r="F82" s="5">
        <f>AVERAGEIFS(Monthly!$E$5:$E$361,Monthly!$D$5:$D$361,Quarterly!C82,Monthly!$C$5:$C$361,Quarterly!B82)</f>
        <v>94.312487893900013</v>
      </c>
      <c r="G82" s="10">
        <v>149476.71400000001</v>
      </c>
      <c r="H82" s="10">
        <v>61643.209000000003</v>
      </c>
      <c r="I82" s="5">
        <v>68019.792000000001</v>
      </c>
      <c r="J82" s="5">
        <v>90423.2353</v>
      </c>
      <c r="K82" s="5">
        <v>81232.698000000004</v>
      </c>
      <c r="L82" s="5"/>
      <c r="M82" s="5"/>
      <c r="N82" s="9"/>
    </row>
    <row r="83" spans="1:14">
      <c r="A83" s="5" t="s">
        <v>100</v>
      </c>
      <c r="B83" s="5">
        <f t="shared" si="2"/>
        <v>3</v>
      </c>
      <c r="C83" s="5">
        <f t="shared" si="3"/>
        <v>2014</v>
      </c>
      <c r="D83" s="7">
        <v>289866.76799999998</v>
      </c>
      <c r="E83" s="5">
        <v>0.48843999999999999</v>
      </c>
      <c r="F83" s="5">
        <f>AVERAGEIFS(Monthly!$E$5:$E$361,Monthly!$D$5:$D$361,Quarterly!C83,Monthly!$C$5:$C$361,Quarterly!B83)</f>
        <v>94.466492609599996</v>
      </c>
      <c r="G83" s="10">
        <v>151047.34599999999</v>
      </c>
      <c r="H83" s="10">
        <v>64031.264999999999</v>
      </c>
      <c r="I83" s="5">
        <v>63920.472999999998</v>
      </c>
      <c r="J83" s="5">
        <v>92721.24040000001</v>
      </c>
      <c r="K83" s="5">
        <v>82792.438999999998</v>
      </c>
      <c r="L83" s="5"/>
      <c r="M83" s="5"/>
      <c r="N83" s="9"/>
    </row>
    <row r="84" spans="1:14">
      <c r="A84" s="5" t="s">
        <v>101</v>
      </c>
      <c r="B84" s="5">
        <f t="shared" si="2"/>
        <v>4</v>
      </c>
      <c r="C84" s="5">
        <f t="shared" si="3"/>
        <v>2014</v>
      </c>
      <c r="D84" s="7">
        <v>294021.16899999999</v>
      </c>
      <c r="E84" s="5">
        <v>0.25</v>
      </c>
      <c r="F84" s="5">
        <f>AVERAGEIFS(Monthly!$E$5:$E$361,Monthly!$D$5:$D$361,Quarterly!C84,Monthly!$C$5:$C$361,Quarterly!B84)</f>
        <v>94.404890723299999</v>
      </c>
      <c r="G84" s="10">
        <v>155346.959</v>
      </c>
      <c r="H84" s="10">
        <v>64079.7</v>
      </c>
      <c r="I84" s="5">
        <v>63510.978000000003</v>
      </c>
      <c r="J84" s="5">
        <v>93580.141400000008</v>
      </c>
      <c r="K84" s="5">
        <v>82822.428</v>
      </c>
      <c r="L84" s="5"/>
      <c r="M84" s="5"/>
      <c r="N84" s="9"/>
    </row>
    <row r="85" spans="1:14">
      <c r="A85" s="5" t="s">
        <v>102</v>
      </c>
      <c r="B85" s="5">
        <f t="shared" si="2"/>
        <v>1</v>
      </c>
      <c r="C85" s="5">
        <f t="shared" si="3"/>
        <v>2015</v>
      </c>
      <c r="D85" s="7">
        <v>293727.17</v>
      </c>
      <c r="E85" s="5">
        <v>0.19500000000000001</v>
      </c>
      <c r="F85" s="5">
        <f>AVERAGEIFS(Monthly!$E$5:$E$361,Monthly!$D$5:$D$361,Quarterly!C85,Monthly!$C$5:$C$361,Quarterly!B85)</f>
        <v>93.151292337533334</v>
      </c>
      <c r="G85" s="10">
        <v>154789.54500000001</v>
      </c>
      <c r="H85" s="10">
        <v>64250.027999999998</v>
      </c>
      <c r="I85" s="5">
        <v>66201.316999999995</v>
      </c>
      <c r="J85" s="5">
        <v>92488.378799999991</v>
      </c>
      <c r="K85" s="5">
        <v>83438.733999999997</v>
      </c>
      <c r="L85" s="5"/>
      <c r="M85" s="5"/>
      <c r="N85" s="9"/>
    </row>
    <row r="86" spans="1:14">
      <c r="A86" s="5" t="s">
        <v>103</v>
      </c>
      <c r="B86" s="5">
        <f t="shared" si="2"/>
        <v>2</v>
      </c>
      <c r="C86" s="5">
        <f t="shared" si="3"/>
        <v>2015</v>
      </c>
      <c r="D86" s="7">
        <v>294475.83299999998</v>
      </c>
      <c r="E86" s="5">
        <v>0.1</v>
      </c>
      <c r="F86" s="5">
        <f>AVERAGEIFS(Monthly!$E$5:$E$361,Monthly!$D$5:$D$361,Quarterly!C86,Monthly!$C$5:$C$361,Quarterly!B86)</f>
        <v>93.905299425599992</v>
      </c>
      <c r="G86" s="10">
        <v>155479.39300000001</v>
      </c>
      <c r="H86" s="10">
        <v>63925.186000000002</v>
      </c>
      <c r="I86" s="5">
        <v>66283.904999999999</v>
      </c>
      <c r="J86" s="5">
        <v>90699.842700000008</v>
      </c>
      <c r="K86" s="5">
        <v>81633.353000000003</v>
      </c>
      <c r="L86" s="5"/>
      <c r="M86" s="5"/>
      <c r="N86" s="9"/>
    </row>
    <row r="87" spans="1:14">
      <c r="A87" s="5" t="s">
        <v>104</v>
      </c>
      <c r="B87" s="5">
        <f t="shared" si="2"/>
        <v>3</v>
      </c>
      <c r="C87" s="5">
        <f t="shared" si="3"/>
        <v>2015</v>
      </c>
      <c r="D87" s="7">
        <v>294517.261</v>
      </c>
      <c r="E87" s="5">
        <v>0.1</v>
      </c>
      <c r="F87" s="5">
        <f>AVERAGEIFS(Monthly!$E$5:$E$361,Monthly!$D$5:$D$361,Quarterly!C87,Monthly!$C$5:$C$361,Quarterly!B87)</f>
        <v>94.093801197600001</v>
      </c>
      <c r="G87" s="10">
        <v>157328.82399999999</v>
      </c>
      <c r="H87" s="10">
        <v>64640.396999999997</v>
      </c>
      <c r="I87" s="5">
        <v>64420.828999999998</v>
      </c>
      <c r="J87" s="5">
        <v>89386.854699999996</v>
      </c>
      <c r="K87" s="5">
        <v>81739.467000000004</v>
      </c>
      <c r="L87" s="5"/>
      <c r="M87" s="5"/>
      <c r="N87" s="9"/>
    </row>
    <row r="88" spans="1:14">
      <c r="A88" s="5" t="s">
        <v>105</v>
      </c>
      <c r="B88" s="5">
        <f t="shared" si="2"/>
        <v>4</v>
      </c>
      <c r="C88" s="5">
        <f t="shared" si="3"/>
        <v>2015</v>
      </c>
      <c r="D88" s="7">
        <v>297813.49900000001</v>
      </c>
      <c r="E88" s="5">
        <v>0.1</v>
      </c>
      <c r="F88" s="5">
        <f>AVERAGEIFS(Monthly!$E$5:$E$361,Monthly!$D$5:$D$361,Quarterly!C88,Monthly!$C$5:$C$361,Quarterly!B88)</f>
        <v>93.591129805600005</v>
      </c>
      <c r="G88" s="10">
        <v>160355.15700000001</v>
      </c>
      <c r="H88" s="10">
        <v>65732.929000000004</v>
      </c>
      <c r="I88" s="5">
        <v>66450.116999999998</v>
      </c>
      <c r="J88" s="5">
        <v>90522.419599999994</v>
      </c>
      <c r="K88" s="5">
        <v>84986.398000000001</v>
      </c>
      <c r="L88" s="5"/>
      <c r="M88" s="5"/>
      <c r="N88" s="9"/>
    </row>
    <row r="89" spans="1:14">
      <c r="A89" s="5" t="s">
        <v>106</v>
      </c>
      <c r="B89" s="5">
        <f t="shared" si="2"/>
        <v>1</v>
      </c>
      <c r="C89" s="5">
        <f t="shared" si="3"/>
        <v>2016</v>
      </c>
      <c r="D89" s="7">
        <v>298528.951</v>
      </c>
      <c r="E89" s="5">
        <v>0.1</v>
      </c>
      <c r="F89" s="5">
        <f>AVERAGEIFS(Monthly!$E$5:$E$361,Monthly!$D$5:$D$361,Quarterly!C89,Monthly!$C$5:$C$361,Quarterly!B89)</f>
        <v>92.680037907499994</v>
      </c>
      <c r="G89" s="10">
        <v>161772.321</v>
      </c>
      <c r="H89" s="10">
        <v>66204.573000000004</v>
      </c>
      <c r="I89" s="5">
        <v>67890.202999999994</v>
      </c>
      <c r="J89" s="5">
        <v>91231.172000000006</v>
      </c>
      <c r="K89" s="5">
        <v>86879.633000000002</v>
      </c>
      <c r="L89" s="5"/>
      <c r="M89" s="5"/>
      <c r="N89" s="9"/>
    </row>
    <row r="90" spans="1:14">
      <c r="A90" s="5" t="s">
        <v>107</v>
      </c>
      <c r="B90" s="5">
        <f t="shared" si="2"/>
        <v>2</v>
      </c>
      <c r="C90" s="5">
        <f t="shared" si="3"/>
        <v>2016</v>
      </c>
      <c r="D90" s="7">
        <v>307158.44699999999</v>
      </c>
      <c r="E90" s="5">
        <v>0.1</v>
      </c>
      <c r="F90" s="5">
        <f>AVERAGEIFS(Monthly!$E$5:$E$361,Monthly!$D$5:$D$361,Quarterly!C90,Monthly!$C$5:$C$361,Quarterly!B90)</f>
        <v>93.11987537553334</v>
      </c>
      <c r="G90" s="10">
        <v>166685.46900000001</v>
      </c>
      <c r="H90" s="10">
        <v>67579.218999999997</v>
      </c>
      <c r="I90" s="5">
        <v>68904.294999999998</v>
      </c>
      <c r="J90" s="5">
        <v>93724.275599999994</v>
      </c>
      <c r="K90" s="5">
        <v>91205.171000000002</v>
      </c>
      <c r="L90" s="5"/>
      <c r="M90" s="5"/>
      <c r="N90" s="9"/>
    </row>
    <row r="91" spans="1:14">
      <c r="A91" s="5" t="s">
        <v>108</v>
      </c>
      <c r="B91" s="5">
        <f t="shared" si="2"/>
        <v>3</v>
      </c>
      <c r="C91" s="5">
        <f t="shared" si="3"/>
        <v>2016</v>
      </c>
      <c r="D91" s="7">
        <v>310388.39600000001</v>
      </c>
      <c r="E91" s="5">
        <v>0.1</v>
      </c>
      <c r="F91" s="5">
        <f>AVERAGEIFS(Monthly!$E$5:$E$361,Monthly!$D$5:$D$361,Quarterly!C91,Monthly!$C$5:$C$361,Quarterly!B91)</f>
        <v>93.559712843599982</v>
      </c>
      <c r="G91" s="10">
        <v>168278.55900000001</v>
      </c>
      <c r="H91" s="10">
        <v>67875.732999999993</v>
      </c>
      <c r="I91" s="5">
        <v>74473.485000000001</v>
      </c>
      <c r="J91" s="5">
        <v>92920.694900000002</v>
      </c>
      <c r="K91" s="5">
        <v>93633.777000000002</v>
      </c>
      <c r="L91" s="5"/>
      <c r="M91" s="5"/>
      <c r="N91" s="9"/>
    </row>
    <row r="92" spans="1:14">
      <c r="A92" s="5" t="s">
        <v>109</v>
      </c>
      <c r="B92" s="5">
        <f t="shared" si="2"/>
        <v>4</v>
      </c>
      <c r="C92" s="5">
        <f t="shared" si="3"/>
        <v>2016</v>
      </c>
      <c r="D92" s="7">
        <v>314266.37800000003</v>
      </c>
      <c r="E92" s="5">
        <v>0.1</v>
      </c>
      <c r="F92" s="5">
        <f>AVERAGEIFS(Monthly!$E$5:$E$361,Monthly!$D$5:$D$361,Quarterly!C92,Monthly!$C$5:$C$361,Quarterly!B92)</f>
        <v>93.339794109533329</v>
      </c>
      <c r="G92" s="10">
        <v>168265.24600000001</v>
      </c>
      <c r="H92" s="10">
        <v>68385.975999999995</v>
      </c>
      <c r="I92" s="5">
        <v>75926.664000000004</v>
      </c>
      <c r="J92" s="5">
        <v>95104.599400000006</v>
      </c>
      <c r="K92" s="5">
        <v>92763.551000000007</v>
      </c>
      <c r="L92" s="5"/>
      <c r="M92" s="5"/>
      <c r="N92" s="9"/>
    </row>
    <row r="93" spans="1:14">
      <c r="A93" s="5" t="s">
        <v>110</v>
      </c>
      <c r="B93" s="5">
        <f t="shared" si="2"/>
        <v>1</v>
      </c>
      <c r="C93" s="5">
        <f t="shared" si="3"/>
        <v>2017</v>
      </c>
      <c r="D93" s="7">
        <v>315380.39500000002</v>
      </c>
      <c r="E93" s="5">
        <v>0.1</v>
      </c>
      <c r="F93" s="5">
        <f>AVERAGEIFS(Monthly!$E$5:$E$361,Monthly!$D$5:$D$361,Quarterly!C93,Monthly!$C$5:$C$361,Quarterly!B93)</f>
        <v>93.120912135266664</v>
      </c>
      <c r="G93" s="10">
        <v>168763.723</v>
      </c>
      <c r="H93" s="10">
        <v>69150.130999999994</v>
      </c>
      <c r="I93" s="5">
        <v>71920.567999999999</v>
      </c>
      <c r="J93" s="5">
        <v>96069.858800000002</v>
      </c>
      <c r="K93" s="5">
        <v>89581.308000000005</v>
      </c>
      <c r="L93" s="5"/>
      <c r="M93" s="5"/>
      <c r="N93" s="9"/>
    </row>
    <row r="94" spans="1:14">
      <c r="A94" s="5" t="s">
        <v>111</v>
      </c>
      <c r="B94" s="5">
        <f t="shared" si="2"/>
        <v>2</v>
      </c>
      <c r="C94" s="5">
        <f t="shared" si="3"/>
        <v>2017</v>
      </c>
      <c r="D94" s="7">
        <v>318863.33799999999</v>
      </c>
      <c r="E94" s="5">
        <v>0.1</v>
      </c>
      <c r="F94" s="5">
        <f>AVERAGEIFS(Monthly!$E$5:$E$361,Monthly!$D$5:$D$361,Quarterly!C94,Monthly!$C$5:$C$361,Quarterly!B94)</f>
        <v>93.524840015733332</v>
      </c>
      <c r="G94" s="10">
        <v>171856.33900000001</v>
      </c>
      <c r="H94" s="10">
        <v>69736.945000000007</v>
      </c>
      <c r="I94" s="5">
        <v>73630.006999999998</v>
      </c>
      <c r="J94" s="5">
        <v>95556.927299999996</v>
      </c>
      <c r="K94" s="5">
        <v>91345.255000000005</v>
      </c>
      <c r="L94" s="5"/>
      <c r="M94" s="5"/>
      <c r="N94" s="9"/>
    </row>
    <row r="95" spans="1:14">
      <c r="A95" s="5" t="s">
        <v>112</v>
      </c>
      <c r="B95" s="5">
        <f t="shared" si="2"/>
        <v>3</v>
      </c>
      <c r="C95" s="5">
        <f t="shared" si="3"/>
        <v>2017</v>
      </c>
      <c r="D95" s="7">
        <v>324410.36599999998</v>
      </c>
      <c r="E95" s="5">
        <v>0.1</v>
      </c>
      <c r="F95" s="5">
        <f>AVERAGEIFS(Monthly!$E$5:$E$361,Monthly!$D$5:$D$361,Quarterly!C95,Monthly!$C$5:$C$361,Quarterly!B95)</f>
        <v>93.338411763233339</v>
      </c>
      <c r="G95" s="10">
        <v>174641.68400000001</v>
      </c>
      <c r="H95" s="10">
        <v>69500.910999999993</v>
      </c>
      <c r="I95" s="5">
        <v>77476.892999999996</v>
      </c>
      <c r="J95" s="5">
        <v>97474.983800000002</v>
      </c>
      <c r="K95" s="5">
        <v>96821.851999999999</v>
      </c>
      <c r="L95" s="5"/>
      <c r="M95" s="5"/>
      <c r="N95" s="9"/>
    </row>
    <row r="96" spans="1:14">
      <c r="A96" s="5" t="s">
        <v>113</v>
      </c>
      <c r="B96" s="5">
        <f t="shared" si="2"/>
        <v>4</v>
      </c>
      <c r="C96" s="5">
        <f t="shared" si="3"/>
        <v>2017</v>
      </c>
      <c r="D96" s="7">
        <v>328581.81400000001</v>
      </c>
      <c r="E96" s="5">
        <v>0.1</v>
      </c>
      <c r="F96" s="5">
        <f>AVERAGEIFS(Monthly!$E$5:$E$361,Monthly!$D$5:$D$361,Quarterly!C96,Monthly!$C$5:$C$361,Quarterly!B96)</f>
        <v>93.618054142000005</v>
      </c>
      <c r="G96" s="10">
        <v>174911.79399999999</v>
      </c>
      <c r="H96" s="10">
        <v>71505.153999999995</v>
      </c>
      <c r="I96" s="5">
        <v>77897.659</v>
      </c>
      <c r="J96" s="5">
        <v>100349.76390000001</v>
      </c>
      <c r="K96" s="5">
        <v>95532.883000000002</v>
      </c>
      <c r="L96" s="5"/>
      <c r="M96" s="5"/>
      <c r="N96" s="9"/>
    </row>
    <row r="97" spans="1:14">
      <c r="A97" s="5" t="s">
        <v>114</v>
      </c>
      <c r="B97" s="5">
        <f t="shared" si="2"/>
        <v>1</v>
      </c>
      <c r="C97" s="5">
        <f t="shared" si="3"/>
        <v>2018</v>
      </c>
      <c r="D97" s="7">
        <v>331874.951</v>
      </c>
      <c r="E97" s="5">
        <v>0.1</v>
      </c>
      <c r="F97" s="5">
        <f>AVERAGEIFS(Monthly!$E$5:$E$361,Monthly!$D$5:$D$361,Quarterly!C97,Monthly!$C$5:$C$361,Quarterly!B97)</f>
        <v>93.276269012366654</v>
      </c>
      <c r="G97" s="10">
        <v>177127.79199999999</v>
      </c>
      <c r="H97" s="10">
        <v>72567.543999999994</v>
      </c>
      <c r="I97" s="5">
        <v>81067.585000000006</v>
      </c>
      <c r="J97" s="5">
        <v>101953.38800000001</v>
      </c>
      <c r="K97" s="5">
        <v>100173.33199999999</v>
      </c>
      <c r="L97" s="5"/>
      <c r="M97" s="5"/>
      <c r="N97" s="9"/>
    </row>
    <row r="98" spans="1:14">
      <c r="A98" s="5" t="s">
        <v>115</v>
      </c>
      <c r="B98" s="5">
        <f t="shared" si="2"/>
        <v>2</v>
      </c>
      <c r="C98" s="5">
        <f t="shared" si="3"/>
        <v>2018</v>
      </c>
      <c r="D98" s="7">
        <v>333541.86300000001</v>
      </c>
      <c r="E98" s="5">
        <v>0.1</v>
      </c>
      <c r="F98" s="5">
        <f>AVERAGEIFS(Monthly!$E$5:$E$361,Monthly!$D$5:$D$361,Quarterly!C98,Monthly!$C$5:$C$361,Quarterly!B98)</f>
        <v>94.208410275000006</v>
      </c>
      <c r="G98" s="10">
        <v>177148.24900000001</v>
      </c>
      <c r="H98" s="10">
        <v>71631.732999999993</v>
      </c>
      <c r="I98" s="5">
        <v>82674.308999999994</v>
      </c>
      <c r="J98" s="5">
        <v>103064.4173</v>
      </c>
      <c r="K98" s="5">
        <v>101003.355</v>
      </c>
      <c r="L98" s="5"/>
      <c r="M98" s="5"/>
      <c r="N98" s="9"/>
    </row>
    <row r="99" spans="1:14">
      <c r="A99" s="5" t="s">
        <v>116</v>
      </c>
      <c r="B99" s="5">
        <f t="shared" si="2"/>
        <v>3</v>
      </c>
      <c r="C99" s="5">
        <f t="shared" si="3"/>
        <v>2018</v>
      </c>
      <c r="D99" s="7">
        <v>336538.43199999997</v>
      </c>
      <c r="E99" s="5">
        <v>0.1</v>
      </c>
      <c r="F99" s="5">
        <f>AVERAGEIFS(Monthly!$E$5:$E$361,Monthly!$D$5:$D$361,Quarterly!C99,Monthly!$C$5:$C$361,Quarterly!B99)</f>
        <v>94.5191240292</v>
      </c>
      <c r="G99" s="10">
        <v>178861.959</v>
      </c>
      <c r="H99" s="10">
        <v>73011.731</v>
      </c>
      <c r="I99" s="5">
        <v>76911.271999999997</v>
      </c>
      <c r="J99" s="5">
        <v>105463.09909999999</v>
      </c>
      <c r="K99" s="5">
        <v>99081.948000000004</v>
      </c>
      <c r="L99" s="5"/>
      <c r="M99" s="5"/>
      <c r="N99" s="9"/>
    </row>
    <row r="100" spans="1:14">
      <c r="A100" s="5" t="s">
        <v>117</v>
      </c>
      <c r="B100" s="5">
        <f t="shared" si="2"/>
        <v>4</v>
      </c>
      <c r="C100" s="5">
        <f t="shared" si="3"/>
        <v>2018</v>
      </c>
      <c r="D100" s="7">
        <v>339581.95199999999</v>
      </c>
      <c r="E100" s="5">
        <v>0.15454499999999999</v>
      </c>
      <c r="F100" s="5">
        <f>AVERAGEIFS(Monthly!$E$5:$E$361,Monthly!$D$5:$D$361,Quarterly!C100,Monthly!$C$5:$C$361,Quarterly!B100)</f>
        <v>94.612338155466659</v>
      </c>
      <c r="G100" s="10">
        <v>181243.67</v>
      </c>
      <c r="H100" s="10">
        <v>73375.040999999997</v>
      </c>
      <c r="I100" s="5">
        <v>81636.956000000006</v>
      </c>
      <c r="J100" s="5">
        <v>103752.0646</v>
      </c>
      <c r="K100" s="5">
        <v>100495.64200000001</v>
      </c>
      <c r="L100" s="5"/>
      <c r="M100" s="5"/>
      <c r="N100" s="9"/>
    </row>
    <row r="101" spans="1:14">
      <c r="A101" s="5" t="s">
        <v>118</v>
      </c>
      <c r="B101" s="5">
        <f t="shared" si="2"/>
        <v>1</v>
      </c>
      <c r="C101" s="5">
        <f t="shared" si="3"/>
        <v>2019</v>
      </c>
      <c r="D101" s="7">
        <v>345706.01199999999</v>
      </c>
      <c r="E101" s="5">
        <v>0.25</v>
      </c>
      <c r="F101" s="5">
        <f>AVERAGEIFS(Monthly!$E$5:$E$361,Monthly!$D$5:$D$361,Quarterly!C101,Monthly!$C$5:$C$361,Quarterly!B101)</f>
        <v>94.460088415899989</v>
      </c>
      <c r="G101" s="10">
        <v>184332.12400000001</v>
      </c>
      <c r="H101" s="10">
        <v>73739.104000000007</v>
      </c>
      <c r="I101" s="5">
        <v>85233.585999999996</v>
      </c>
      <c r="J101" s="5">
        <v>106710.2507</v>
      </c>
      <c r="K101" s="5">
        <v>102081.655</v>
      </c>
      <c r="L101" s="5"/>
      <c r="M101" s="5"/>
      <c r="N101" s="9"/>
    </row>
    <row r="102" spans="1:14">
      <c r="A102" s="5" t="s">
        <v>119</v>
      </c>
      <c r="B102" s="5">
        <f t="shared" si="2"/>
        <v>2</v>
      </c>
      <c r="C102" s="5">
        <f t="shared" si="3"/>
        <v>2019</v>
      </c>
      <c r="D102" s="7">
        <v>344709.70699999999</v>
      </c>
      <c r="E102" s="5">
        <v>0.25</v>
      </c>
      <c r="F102" s="5">
        <f>AVERAGEIFS(Monthly!$E$5:$E$361,Monthly!$D$5:$D$361,Quarterly!C102,Monthly!$C$5:$C$361,Quarterly!B102)</f>
        <v>95.338786912800003</v>
      </c>
      <c r="G102" s="10">
        <v>184133.448</v>
      </c>
      <c r="H102" s="10">
        <v>74745.376999999993</v>
      </c>
      <c r="I102" s="5">
        <v>78152.637000000002</v>
      </c>
      <c r="J102" s="5">
        <v>107571.29190000001</v>
      </c>
      <c r="K102" s="5">
        <v>102008.61</v>
      </c>
      <c r="L102" s="5"/>
      <c r="M102" s="5"/>
      <c r="N102" s="9"/>
    </row>
    <row r="103" spans="1:14">
      <c r="A103" s="5" t="s">
        <v>120</v>
      </c>
      <c r="B103" s="5">
        <f t="shared" si="2"/>
        <v>3</v>
      </c>
      <c r="C103" s="5">
        <f t="shared" si="3"/>
        <v>2019</v>
      </c>
      <c r="D103" s="7">
        <v>348530.86200000002</v>
      </c>
      <c r="E103" s="5">
        <v>0.25</v>
      </c>
      <c r="F103" s="5">
        <f>AVERAGEIFS(Monthly!$E$5:$E$361,Monthly!$D$5:$D$361,Quarterly!C103,Monthly!$C$5:$C$361,Quarterly!B103)</f>
        <v>94.962201842666673</v>
      </c>
      <c r="G103" s="10">
        <v>185460.53400000001</v>
      </c>
      <c r="H103" s="10">
        <v>75268.043999999994</v>
      </c>
      <c r="I103" s="5">
        <v>85199.555999999997</v>
      </c>
      <c r="J103" s="5">
        <v>105261.348</v>
      </c>
      <c r="K103" s="5">
        <v>104148.825</v>
      </c>
      <c r="L103" s="5"/>
      <c r="M103" s="5"/>
      <c r="N103" s="9"/>
    </row>
    <row r="104" spans="1:14">
      <c r="A104" s="5" t="s">
        <v>121</v>
      </c>
      <c r="B104" s="5">
        <f t="shared" si="2"/>
        <v>4</v>
      </c>
      <c r="C104" s="5">
        <f t="shared" si="3"/>
        <v>2019</v>
      </c>
      <c r="D104" s="7">
        <v>351411.85700000002</v>
      </c>
      <c r="E104" s="5">
        <v>0.25</v>
      </c>
      <c r="F104" s="5">
        <f>AVERAGEIFS(Monthly!$E$5:$E$361,Monthly!$D$5:$D$361,Quarterly!C104,Monthly!$C$5:$C$361,Quarterly!B104)</f>
        <v>95.024966020999997</v>
      </c>
      <c r="G104" s="10">
        <v>189185.139</v>
      </c>
      <c r="H104" s="10">
        <v>75185.592999999993</v>
      </c>
      <c r="I104" s="5">
        <v>87439.149000000005</v>
      </c>
      <c r="J104" s="5">
        <v>105671.4449</v>
      </c>
      <c r="K104" s="5">
        <v>105996.781</v>
      </c>
      <c r="L104" s="5"/>
      <c r="M104" s="5"/>
      <c r="N104" s="9"/>
    </row>
    <row r="105" spans="1:14">
      <c r="A105" s="5" t="s">
        <v>122</v>
      </c>
      <c r="B105" s="5">
        <f t="shared" si="2"/>
        <v>1</v>
      </c>
      <c r="C105" s="5">
        <f t="shared" si="3"/>
        <v>2020</v>
      </c>
      <c r="D105" s="7">
        <v>344173.33399999997</v>
      </c>
      <c r="E105" s="5">
        <v>0.25</v>
      </c>
      <c r="F105" s="5">
        <f>AVERAGEIFS(Monthly!$E$5:$E$361,Monthly!$D$5:$D$361,Quarterly!C105,Monthly!$C$5:$C$361,Quarterly!B105)</f>
        <v>94.585616772566667</v>
      </c>
      <c r="G105" s="10">
        <v>178277.785</v>
      </c>
      <c r="H105" s="10">
        <v>73110.447</v>
      </c>
      <c r="I105" s="5">
        <v>87877.72</v>
      </c>
      <c r="J105" s="5">
        <v>102490.6857</v>
      </c>
      <c r="K105" s="5">
        <v>99168.616999999998</v>
      </c>
      <c r="L105" s="5"/>
      <c r="M105" s="5"/>
      <c r="N105" s="9"/>
    </row>
    <row r="106" spans="1:14">
      <c r="A106" s="5" t="s">
        <v>123</v>
      </c>
      <c r="B106" s="5">
        <f t="shared" si="2"/>
        <v>2</v>
      </c>
      <c r="C106" s="5">
        <f t="shared" si="3"/>
        <v>2020</v>
      </c>
      <c r="D106" s="7">
        <v>315715.61900000001</v>
      </c>
      <c r="E106" s="5">
        <v>0.115909</v>
      </c>
      <c r="F106" s="5">
        <f>AVERAGEIFS(Monthly!$E$5:$E$361,Monthly!$D$5:$D$361,Quarterly!C106,Monthly!$C$5:$C$361,Quarterly!B106)</f>
        <v>94.303177970033332</v>
      </c>
      <c r="G106" s="10">
        <v>157669.36499999999</v>
      </c>
      <c r="H106" s="10">
        <v>75083.421000000002</v>
      </c>
      <c r="I106" s="5">
        <v>76394.365000000005</v>
      </c>
      <c r="J106" s="5">
        <v>94059.337499999994</v>
      </c>
      <c r="K106" s="5">
        <v>88406.25</v>
      </c>
      <c r="L106" s="5"/>
      <c r="M106" s="5"/>
      <c r="N106" s="9"/>
    </row>
    <row r="107" spans="1:14">
      <c r="A107" s="5" t="s">
        <v>124</v>
      </c>
      <c r="B107" s="5">
        <f t="shared" si="2"/>
        <v>3</v>
      </c>
      <c r="C107" s="5">
        <f t="shared" si="3"/>
        <v>2020</v>
      </c>
      <c r="D107" s="7">
        <v>344023.87699999998</v>
      </c>
      <c r="E107" s="5">
        <v>0.1</v>
      </c>
      <c r="F107" s="5">
        <f>AVERAGEIFS(Monthly!$E$5:$E$361,Monthly!$D$5:$D$361,Quarterly!C107,Monthly!$C$5:$C$361,Quarterly!B107)</f>
        <v>94.303177970033332</v>
      </c>
      <c r="G107" s="10">
        <v>170829.59299999999</v>
      </c>
      <c r="H107" s="10">
        <v>77588.964999999997</v>
      </c>
      <c r="I107" s="5">
        <v>81105.887000000002</v>
      </c>
      <c r="J107" s="5">
        <v>104257.2273</v>
      </c>
      <c r="K107" s="5">
        <v>87696.933999999994</v>
      </c>
      <c r="L107" s="5"/>
      <c r="M107" s="5"/>
      <c r="N107" s="9"/>
    </row>
    <row r="108" spans="1:14">
      <c r="A108" s="5" t="s">
        <v>125</v>
      </c>
      <c r="B108" s="5">
        <f t="shared" si="2"/>
        <v>4</v>
      </c>
      <c r="C108" s="5">
        <f t="shared" si="3"/>
        <v>2020</v>
      </c>
      <c r="D108" s="7">
        <v>352924.88900000002</v>
      </c>
      <c r="E108" s="5">
        <v>0.1</v>
      </c>
      <c r="F108" s="5">
        <f>AVERAGEIFS(Monthly!$E$5:$E$361,Monthly!$D$5:$D$361,Quarterly!C108,Monthly!$C$5:$C$361,Quarterly!B108)</f>
        <v>94.36594214836667</v>
      </c>
      <c r="G108" s="10">
        <v>178578.51300000001</v>
      </c>
      <c r="H108" s="10">
        <v>79463.695000000007</v>
      </c>
      <c r="I108" s="5">
        <v>92619.441000000006</v>
      </c>
      <c r="J108" s="5">
        <v>107042.60520000001</v>
      </c>
      <c r="K108" s="5">
        <v>103908.23299999999</v>
      </c>
      <c r="L108" s="5"/>
      <c r="M108" s="5"/>
      <c r="N108" s="9"/>
    </row>
    <row r="109" spans="1:14">
      <c r="A109" s="5" t="s">
        <v>126</v>
      </c>
      <c r="B109" s="5">
        <f t="shared" si="2"/>
        <v>1</v>
      </c>
      <c r="C109" s="5">
        <f t="shared" si="3"/>
        <v>2021</v>
      </c>
      <c r="D109" s="7">
        <v>354685.891</v>
      </c>
      <c r="E109" s="5">
        <v>0.1</v>
      </c>
      <c r="F109" s="5">
        <f>AVERAGEIFS(Monthly!$E$5:$E$361,Monthly!$D$5:$D$361,Quarterly!C109,Monthly!$C$5:$C$361,Quarterly!B109)</f>
        <v>94.523135033033327</v>
      </c>
      <c r="G109" s="10">
        <v>179372.22899999999</v>
      </c>
      <c r="H109" s="10">
        <v>77882.278000000006</v>
      </c>
      <c r="I109" s="5">
        <v>90904.157999999996</v>
      </c>
      <c r="J109" s="5">
        <v>111498.5325</v>
      </c>
      <c r="K109" s="5">
        <v>107012.292</v>
      </c>
      <c r="L109" s="5"/>
      <c r="M109" s="5"/>
      <c r="N109" s="9"/>
    </row>
    <row r="110" spans="1:14">
      <c r="A110" s="5" t="s">
        <v>127</v>
      </c>
      <c r="B110" s="5">
        <f t="shared" si="2"/>
        <v>2</v>
      </c>
      <c r="C110" s="5">
        <f t="shared" si="3"/>
        <v>2021</v>
      </c>
      <c r="D110" s="7">
        <v>367119.84100000001</v>
      </c>
      <c r="E110" s="5">
        <v>0.1</v>
      </c>
      <c r="F110" s="5">
        <f>AVERAGEIFS(Monthly!$E$5:$E$361,Monthly!$D$5:$D$361,Quarterly!C110,Monthly!$C$5:$C$361,Quarterly!B110)</f>
        <v>95.561850802666655</v>
      </c>
      <c r="G110" s="10">
        <v>191070.66200000001</v>
      </c>
      <c r="H110" s="10">
        <v>79895.849000000002</v>
      </c>
      <c r="I110" s="5">
        <v>93962.682000000001</v>
      </c>
      <c r="J110" s="5">
        <v>114240.8702</v>
      </c>
      <c r="K110" s="5">
        <v>111937.289</v>
      </c>
      <c r="L110" s="5"/>
      <c r="M110" s="5"/>
      <c r="N110" s="9"/>
    </row>
    <row r="111" spans="1:14">
      <c r="A111" s="5" t="s">
        <v>128</v>
      </c>
      <c r="B111" s="5">
        <f t="shared" si="2"/>
        <v>3</v>
      </c>
      <c r="C111" s="5">
        <f t="shared" si="3"/>
        <v>2021</v>
      </c>
      <c r="D111" s="7">
        <v>374258.44500000001</v>
      </c>
      <c r="E111" s="5">
        <v>0.1</v>
      </c>
      <c r="F111" s="5">
        <f>AVERAGEIFS(Monthly!$E$5:$E$361,Monthly!$D$5:$D$361,Quarterly!C111,Monthly!$C$5:$C$361,Quarterly!B111)</f>
        <v>96.380232924133338</v>
      </c>
      <c r="G111" s="10">
        <v>193746.94399999999</v>
      </c>
      <c r="H111" s="10">
        <v>80420.135999999999</v>
      </c>
      <c r="I111" s="5">
        <v>97287.406000000003</v>
      </c>
      <c r="J111" s="5">
        <v>118712.58320000001</v>
      </c>
      <c r="K111" s="5">
        <v>115726.367</v>
      </c>
      <c r="L111" s="5"/>
      <c r="M111" s="5"/>
      <c r="N111" s="9"/>
    </row>
    <row r="112" spans="1:14">
      <c r="A112" s="5" t="s">
        <v>129</v>
      </c>
      <c r="B112" s="5">
        <f t="shared" si="2"/>
        <v>4</v>
      </c>
      <c r="C112" s="5">
        <f t="shared" si="3"/>
        <v>2021</v>
      </c>
      <c r="D112" s="7">
        <v>391029.88799999998</v>
      </c>
      <c r="E112" s="5">
        <v>0.1</v>
      </c>
      <c r="F112" s="5">
        <f>AVERAGEIFS(Monthly!$E$5:$E$361,Monthly!$D$5:$D$361,Quarterly!C112,Monthly!$C$5:$C$361,Quarterly!B112)</f>
        <v>96.726471514000011</v>
      </c>
      <c r="G112" s="10">
        <v>200516.86300000001</v>
      </c>
      <c r="H112" s="10">
        <v>83194.111999999994</v>
      </c>
      <c r="I112" s="5">
        <v>101211.11900000001</v>
      </c>
      <c r="J112" s="5">
        <v>126637.0837</v>
      </c>
      <c r="K112" s="5">
        <v>123604.694</v>
      </c>
      <c r="L112" s="5"/>
      <c r="M112" s="5"/>
      <c r="N112" s="9"/>
    </row>
    <row r="113" spans="1:14">
      <c r="A113" s="5" t="s">
        <v>130</v>
      </c>
      <c r="B113" s="5">
        <f t="shared" si="2"/>
        <v>1</v>
      </c>
      <c r="C113" s="5">
        <f t="shared" si="3"/>
        <v>2022</v>
      </c>
      <c r="D113" s="7">
        <v>388616.495</v>
      </c>
      <c r="E113" s="5">
        <v>0.1</v>
      </c>
      <c r="F113" s="5">
        <f>AVERAGEIFS(Monthly!$E$5:$E$361,Monthly!$D$5:$D$361,Quarterly!C113,Monthly!$C$5:$C$361,Quarterly!B113)</f>
        <v>97.702234812733323</v>
      </c>
      <c r="G113" s="10">
        <v>202606.91200000001</v>
      </c>
      <c r="H113" s="10">
        <v>80372.846000000005</v>
      </c>
      <c r="I113" s="5">
        <v>104436.649</v>
      </c>
      <c r="J113" s="5">
        <v>126438.99220000001</v>
      </c>
      <c r="K113" s="5">
        <v>127797.10400000001</v>
      </c>
      <c r="L113" s="5"/>
      <c r="M113" s="5"/>
      <c r="N113" s="9"/>
    </row>
    <row r="114" spans="1:14">
      <c r="A114" s="5" t="s">
        <v>131</v>
      </c>
      <c r="B114" s="5">
        <f t="shared" si="2"/>
        <v>2</v>
      </c>
      <c r="C114" s="5">
        <f t="shared" si="3"/>
        <v>2022</v>
      </c>
      <c r="D114" s="7">
        <v>394445.16200000001</v>
      </c>
      <c r="E114" s="5">
        <v>0.47186099999999997</v>
      </c>
      <c r="F114" s="5">
        <f>AVERAGEIFS(Monthly!$E$5:$E$361,Monthly!$D$5:$D$361,Quarterly!C114,Monthly!$C$5:$C$361,Quarterly!B114)</f>
        <v>99.55933270380001</v>
      </c>
      <c r="G114" s="10">
        <v>207581.647</v>
      </c>
      <c r="H114" s="10">
        <v>80631.67</v>
      </c>
      <c r="I114" s="5">
        <v>104372.43799999999</v>
      </c>
      <c r="J114" s="5">
        <v>129818.2559</v>
      </c>
      <c r="K114" s="5">
        <v>129551.076</v>
      </c>
      <c r="L114" s="5"/>
      <c r="M114" s="5"/>
      <c r="N114" s="9"/>
    </row>
    <row r="115" spans="1:14">
      <c r="A115" s="5" t="s">
        <v>132</v>
      </c>
      <c r="B115" s="5">
        <f t="shared" si="2"/>
        <v>3</v>
      </c>
      <c r="C115" s="5">
        <f t="shared" si="3"/>
        <v>2022</v>
      </c>
      <c r="D115" s="7">
        <v>394716.99699999997</v>
      </c>
      <c r="E115" s="5">
        <v>1.5226</v>
      </c>
      <c r="F115" s="5">
        <f>AVERAGEIFS(Monthly!$E$5:$E$361,Monthly!$D$5:$D$361,Quarterly!C115,Monthly!$C$5:$C$361,Quarterly!B115)</f>
        <v>101.00723953413335</v>
      </c>
      <c r="G115" s="10">
        <v>204801.15299999999</v>
      </c>
      <c r="H115" s="10">
        <v>81437.448999999993</v>
      </c>
      <c r="I115" s="5">
        <v>109533.306</v>
      </c>
      <c r="J115" s="5">
        <v>129745.0671</v>
      </c>
      <c r="K115" s="5">
        <v>129376.08</v>
      </c>
      <c r="L115" s="5"/>
      <c r="M115" s="5"/>
      <c r="N115" s="9"/>
    </row>
    <row r="116" spans="1:14">
      <c r="A116" s="5" t="s">
        <v>133</v>
      </c>
      <c r="B116" s="5">
        <f t="shared" si="2"/>
        <v>4</v>
      </c>
      <c r="C116" s="5">
        <f t="shared" si="3"/>
        <v>2022</v>
      </c>
      <c r="D116" s="7">
        <v>401958.28499999997</v>
      </c>
      <c r="E116" s="5">
        <v>2.9188299999999998</v>
      </c>
      <c r="F116" s="5">
        <f>AVERAGEIFS(Monthly!$E$5:$E$361,Monthly!$D$5:$D$361,Quarterly!C116,Monthly!$C$5:$C$361,Quarterly!B116)</f>
        <v>101.7626691848</v>
      </c>
      <c r="G116" s="10">
        <v>209252.761</v>
      </c>
      <c r="H116" s="10">
        <v>81184.251999999993</v>
      </c>
      <c r="I116" s="5">
        <v>110257.81600000001</v>
      </c>
      <c r="J116" s="5">
        <v>128440.2622</v>
      </c>
      <c r="K116" s="5">
        <v>126941.981</v>
      </c>
      <c r="L116" s="5"/>
      <c r="M116" s="5"/>
      <c r="N116" s="9"/>
    </row>
    <row r="117" spans="1:14">
      <c r="A117" s="5" t="s">
        <v>134</v>
      </c>
      <c r="B117" s="5">
        <f t="shared" si="2"/>
        <v>1</v>
      </c>
      <c r="C117" s="5">
        <f t="shared" si="3"/>
        <v>2023</v>
      </c>
      <c r="D117" s="7">
        <v>405854.06400000001</v>
      </c>
      <c r="E117" s="5">
        <v>3.921014</v>
      </c>
      <c r="F117" s="5">
        <f>AVERAGEIFS(Monthly!$E$5:$E$361,Monthly!$D$5:$D$361,Quarterly!C117,Monthly!$C$5:$C$361,Quarterly!B117)</f>
        <v>102.76666666666667</v>
      </c>
      <c r="G117" s="10">
        <v>207599.48199999999</v>
      </c>
      <c r="H117" s="10">
        <v>81855.002999999997</v>
      </c>
      <c r="I117" s="5">
        <v>110135.227</v>
      </c>
      <c r="J117" s="5">
        <v>128158.14779999999</v>
      </c>
      <c r="K117" s="5">
        <v>124461.167</v>
      </c>
      <c r="L117" s="5"/>
      <c r="M117" s="5"/>
      <c r="N117" s="9"/>
    </row>
    <row r="118" spans="1:14">
      <c r="A118" s="5" t="s">
        <v>135</v>
      </c>
      <c r="B118" s="5">
        <f t="shared" si="2"/>
        <v>2</v>
      </c>
      <c r="C118" s="5">
        <f t="shared" si="3"/>
        <v>2023</v>
      </c>
      <c r="D118" s="7">
        <v>408487.73200000002</v>
      </c>
      <c r="E118" s="5">
        <v>4.5847819999999997</v>
      </c>
      <c r="F118" s="5">
        <f>AVERAGEIFS(Monthly!$E$5:$E$361,Monthly!$D$5:$D$361,Quarterly!C118,Monthly!$C$5:$C$361,Quarterly!B118)</f>
        <v>104.13333333333333</v>
      </c>
      <c r="G118" s="10">
        <v>207435.674</v>
      </c>
      <c r="H118" s="10">
        <v>82762.186000000002</v>
      </c>
      <c r="I118" s="5">
        <v>111463.52899999999</v>
      </c>
      <c r="J118" s="5">
        <v>128766.24620000001</v>
      </c>
      <c r="K118" s="5">
        <v>122423.129</v>
      </c>
      <c r="L118" s="5"/>
      <c r="M118" s="5"/>
      <c r="N118" s="9"/>
    </row>
    <row r="119" spans="1:14">
      <c r="A119" s="5" t="s">
        <v>152</v>
      </c>
      <c r="B119" s="5">
        <f t="shared" si="2"/>
        <v>3</v>
      </c>
      <c r="C119" s="5">
        <f t="shared" si="3"/>
        <v>2023</v>
      </c>
      <c r="D119" s="7">
        <v>408292.30099999998</v>
      </c>
      <c r="E119" s="5">
        <v>4.75</v>
      </c>
      <c r="F119" s="5">
        <f>AVERAGEIFS(Monthly!$E$5:$E$361,Monthly!$D$5:$D$361,Quarterly!C119,Monthly!$C$5:$C$361,Quarterly!B119)</f>
        <v>99.979205462433313</v>
      </c>
      <c r="G119" s="10">
        <v>207214.62299999999</v>
      </c>
      <c r="H119" s="10">
        <v>84159.574999999997</v>
      </c>
      <c r="I119" s="5">
        <v>109584.353</v>
      </c>
      <c r="J119" s="5">
        <v>129487.6961</v>
      </c>
      <c r="K119" s="5">
        <v>120314.18700000001</v>
      </c>
      <c r="L119" s="5"/>
      <c r="M119" s="5"/>
      <c r="N119" s="9"/>
    </row>
    <row r="120" spans="1:14">
      <c r="A120" s="5" t="s">
        <v>153</v>
      </c>
      <c r="B120" s="5">
        <f t="shared" si="2"/>
        <v>4</v>
      </c>
      <c r="C120" s="5">
        <f t="shared" si="3"/>
        <v>2023</v>
      </c>
      <c r="D120" s="7">
        <v>384833.91100000002</v>
      </c>
      <c r="E120" s="5">
        <v>4.75</v>
      </c>
      <c r="F120" s="5">
        <f>AVERAGEIFS(Monthly!$E$5:$E$361,Monthly!$D$5:$D$361,Quarterly!C120,Monthly!$C$5:$C$361,Quarterly!B120)</f>
        <v>97.920546244566665</v>
      </c>
      <c r="G120" s="10">
        <v>191957.11</v>
      </c>
      <c r="H120" s="10">
        <v>98359.597999999998</v>
      </c>
      <c r="I120" s="5">
        <v>80685.009000000005</v>
      </c>
      <c r="J120" s="5">
        <v>121908.14090000001</v>
      </c>
      <c r="K120" s="5">
        <v>107334.122</v>
      </c>
      <c r="L120" s="5"/>
      <c r="M120" s="5"/>
      <c r="N120" s="9"/>
    </row>
    <row r="121" spans="1:14">
      <c r="A121" s="5" t="s">
        <v>166</v>
      </c>
      <c r="B121" s="5">
        <f t="shared" si="2"/>
        <v>1</v>
      </c>
      <c r="C121" s="5">
        <f t="shared" si="3"/>
        <v>2024</v>
      </c>
      <c r="D121" s="7">
        <v>400149.95799999998</v>
      </c>
      <c r="E121" s="5">
        <v>4.5</v>
      </c>
      <c r="F121" s="5">
        <f>AVERAGEIFS(Monthly!$E$5:$E$361,Monthly!$D$5:$D$361,Quarterly!C121,Monthly!$C$5:$C$361,Quarterly!B121)</f>
        <v>98.199875853533328</v>
      </c>
      <c r="G121" s="10">
        <v>202385.753</v>
      </c>
      <c r="H121" s="10">
        <v>98530.092000000004</v>
      </c>
      <c r="I121" s="5">
        <v>93233.392999999996</v>
      </c>
      <c r="J121" s="5">
        <v>120889.7423</v>
      </c>
      <c r="K121" s="5">
        <v>116261.58</v>
      </c>
      <c r="L121" s="5"/>
      <c r="M121" s="5"/>
      <c r="N121" s="9"/>
    </row>
    <row r="122" spans="1:14">
      <c r="A122" s="5" t="s">
        <v>167</v>
      </c>
      <c r="B122" s="5">
        <f t="shared" si="2"/>
        <v>2</v>
      </c>
      <c r="C122" s="5">
        <f t="shared" si="3"/>
        <v>2024</v>
      </c>
      <c r="D122" s="7">
        <v>399838.02899999998</v>
      </c>
      <c r="E122" s="5">
        <v>4.5</v>
      </c>
      <c r="F122" s="5">
        <f>AVERAGEIFS(Monthly!$E$5:$E$361,Monthly!$D$5:$D$361,Quarterly!C122,Monthly!$C$5:$C$361,Quarterly!B122)</f>
        <v>99.689633767866667</v>
      </c>
      <c r="G122" s="10">
        <v>209015.636</v>
      </c>
      <c r="H122" s="10">
        <v>97957.672999999995</v>
      </c>
      <c r="I122" s="5">
        <v>86288.728000000003</v>
      </c>
      <c r="J122" s="5">
        <v>118976.38099999999</v>
      </c>
      <c r="K122" s="5">
        <v>113909.105</v>
      </c>
      <c r="L122" s="5"/>
      <c r="M122" s="5"/>
      <c r="N122" s="9"/>
    </row>
    <row r="123" spans="1:14">
      <c r="A123" s="5" t="s">
        <v>168</v>
      </c>
      <c r="B123" s="5">
        <f t="shared" si="2"/>
        <v>3</v>
      </c>
      <c r="C123" s="5">
        <f t="shared" si="3"/>
        <v>2024</v>
      </c>
      <c r="D123" s="7">
        <v>404759.82900000003</v>
      </c>
      <c r="E123" s="5">
        <v>4.5</v>
      </c>
      <c r="F123" s="5">
        <f>AVERAGEIFS(Monthly!$E$5:$E$361,Monthly!$D$5:$D$361,Quarterly!C123,Monthly!$C$5:$C$361,Quarterly!B123)</f>
        <v>100.93109869646666</v>
      </c>
      <c r="G123" s="10">
        <v>213442.07699999999</v>
      </c>
      <c r="H123" s="10">
        <v>97422.864000000001</v>
      </c>
      <c r="I123" s="5">
        <v>96190.373999999996</v>
      </c>
      <c r="J123" s="5">
        <v>119728.66499999999</v>
      </c>
      <c r="K123" s="5">
        <v>118280.436</v>
      </c>
      <c r="L123" s="5"/>
      <c r="M123" s="5"/>
      <c r="N123" s="9"/>
    </row>
    <row r="124" spans="1:14">
      <c r="A124" s="5" t="s">
        <v>178</v>
      </c>
      <c r="B124" s="5">
        <f t="shared" si="2"/>
        <v>4</v>
      </c>
      <c r="C124" s="5">
        <f t="shared" si="3"/>
        <v>2024</v>
      </c>
      <c r="D124" s="8">
        <v>406817.06</v>
      </c>
      <c r="E124" s="5">
        <v>4.5</v>
      </c>
      <c r="F124" s="5">
        <f>AVERAGEIFS(Monthly!$E$5:$E$3581,Monthly!$D$5:$D$3581,Quarterly!C124,Monthly!$C$5:$C$3581,Quarterly!B124)</f>
        <v>101.24146492863333</v>
      </c>
      <c r="G124" s="10">
        <v>218387.609</v>
      </c>
      <c r="H124" s="10">
        <v>99658.21</v>
      </c>
      <c r="I124" s="5">
        <v>91521.572</v>
      </c>
      <c r="J124" s="5">
        <v>121331.4843</v>
      </c>
      <c r="K124" s="5">
        <v>123343.26700000001</v>
      </c>
      <c r="L124" s="5"/>
      <c r="M124" s="5"/>
      <c r="N124" s="9"/>
    </row>
    <row r="125" spans="1:14">
      <c r="A125" s="5" t="s">
        <v>179</v>
      </c>
      <c r="B125" s="5">
        <f t="shared" si="2"/>
        <v>1</v>
      </c>
      <c r="C125" s="5">
        <f t="shared" si="3"/>
        <v>2025</v>
      </c>
      <c r="E125" s="5">
        <v>4.5</v>
      </c>
      <c r="F125" s="5">
        <f>AVERAGEIFS(Monthly!$E$5:$E$3581,Monthly!$D$5:$D$3581,Quarterly!C125,Monthly!$C$5:$C$3581,Quarterly!B125)</f>
        <v>101.66666666666664</v>
      </c>
      <c r="L125" s="5"/>
      <c r="M125" s="5"/>
    </row>
    <row r="130" spans="12:13">
      <c r="L130" s="5"/>
      <c r="M130" s="5"/>
    </row>
    <row r="131" spans="12:13">
      <c r="L131" s="5"/>
      <c r="M131" s="5"/>
    </row>
    <row r="132" spans="12:13">
      <c r="L132" s="5"/>
      <c r="M132" s="5"/>
    </row>
    <row r="133" spans="12:13">
      <c r="L133" s="5"/>
      <c r="M133" s="5"/>
    </row>
    <row r="134" spans="12:13">
      <c r="L134" s="5"/>
      <c r="M134" s="5"/>
    </row>
    <row r="135" spans="12:13">
      <c r="L135" s="5"/>
      <c r="M135" s="5"/>
    </row>
    <row r="136" spans="12:13">
      <c r="L136" s="5"/>
      <c r="M136" s="5"/>
    </row>
    <row r="137" spans="12:13">
      <c r="L137" s="5"/>
      <c r="M137" s="5"/>
    </row>
    <row r="138" spans="12:13">
      <c r="L138" s="5"/>
      <c r="M138" s="5"/>
    </row>
    <row r="139" spans="12:13">
      <c r="L139" s="5"/>
      <c r="M139" s="5"/>
    </row>
    <row r="140" spans="12:13">
      <c r="L140" s="5"/>
      <c r="M140" s="5"/>
    </row>
    <row r="141" spans="12:13">
      <c r="L141" s="5"/>
      <c r="M141" s="5"/>
    </row>
    <row r="142" spans="12:13">
      <c r="L142" s="5"/>
      <c r="M142" s="5"/>
    </row>
    <row r="143" spans="12:13">
      <c r="L143" s="5"/>
      <c r="M143" s="5"/>
    </row>
    <row r="144" spans="12:13">
      <c r="L144" s="5"/>
      <c r="M144" s="5"/>
    </row>
    <row r="145" spans="12:13">
      <c r="L145" s="5"/>
      <c r="M145" s="5"/>
    </row>
    <row r="146" spans="12:13">
      <c r="L146" s="5"/>
      <c r="M146" s="5"/>
    </row>
    <row r="147" spans="12:13">
      <c r="L147" s="5"/>
      <c r="M147" s="5"/>
    </row>
    <row r="148" spans="12:13">
      <c r="L148" s="5"/>
      <c r="M148" s="5"/>
    </row>
    <row r="149" spans="12:13">
      <c r="L149" s="5"/>
      <c r="M149" s="5"/>
    </row>
    <row r="150" spans="12:13">
      <c r="L150" s="5"/>
      <c r="M150" s="5"/>
    </row>
    <row r="151" spans="12:13">
      <c r="L151" s="5"/>
      <c r="M151" s="5"/>
    </row>
    <row r="152" spans="12:13">
      <c r="L152" s="5"/>
      <c r="M152" s="5"/>
    </row>
    <row r="153" spans="12:13">
      <c r="L153" s="5"/>
      <c r="M153" s="5"/>
    </row>
    <row r="154" spans="12:13">
      <c r="L154" s="5"/>
      <c r="M154" s="5"/>
    </row>
    <row r="155" spans="12:13">
      <c r="L155" s="5"/>
      <c r="M155" s="5"/>
    </row>
    <row r="156" spans="12:13">
      <c r="L156" s="5"/>
      <c r="M156" s="5"/>
    </row>
    <row r="157" spans="12:13">
      <c r="L157" s="5"/>
      <c r="M157" s="5"/>
    </row>
    <row r="158" spans="12:13">
      <c r="L158" s="5"/>
      <c r="M158" s="5"/>
    </row>
    <row r="159" spans="12:13">
      <c r="L159" s="5"/>
      <c r="M159" s="5"/>
    </row>
    <row r="160" spans="12:13">
      <c r="L160" s="5"/>
      <c r="M160" s="5"/>
    </row>
    <row r="161" spans="12:13">
      <c r="L161" s="5"/>
      <c r="M161" s="5"/>
    </row>
    <row r="162" spans="12:13">
      <c r="L162" s="5"/>
      <c r="M162" s="5"/>
    </row>
    <row r="163" spans="12:13">
      <c r="L163" s="5"/>
      <c r="M163" s="5"/>
    </row>
    <row r="164" spans="12:13">
      <c r="L164" s="5"/>
      <c r="M164" s="5"/>
    </row>
    <row r="165" spans="12:13">
      <c r="L165" s="5"/>
      <c r="M165" s="5"/>
    </row>
    <row r="166" spans="12:13">
      <c r="L166" s="5"/>
      <c r="M166" s="5"/>
    </row>
    <row r="167" spans="12:13">
      <c r="L167" s="5"/>
      <c r="M167" s="5"/>
    </row>
    <row r="168" spans="12:13">
      <c r="L168" s="5"/>
      <c r="M168" s="5"/>
    </row>
    <row r="169" spans="12:13">
      <c r="L169" s="5"/>
      <c r="M169" s="5"/>
    </row>
    <row r="170" spans="12:13">
      <c r="L170" s="5"/>
      <c r="M170" s="5"/>
    </row>
    <row r="171" spans="12:13">
      <c r="L171" s="5"/>
      <c r="M171" s="5"/>
    </row>
    <row r="172" spans="12:13">
      <c r="L172" s="5"/>
      <c r="M172" s="5"/>
    </row>
    <row r="173" spans="12:13">
      <c r="L173" s="5"/>
      <c r="M173" s="5"/>
    </row>
    <row r="174" spans="12:13">
      <c r="L174" s="5"/>
      <c r="M174" s="5"/>
    </row>
    <row r="175" spans="12:13">
      <c r="L175" s="5"/>
      <c r="M175" s="5"/>
    </row>
    <row r="176" spans="12:13">
      <c r="L176" s="5"/>
      <c r="M176" s="5"/>
    </row>
    <row r="177" spans="12:13">
      <c r="L177" s="5"/>
      <c r="M177" s="5"/>
    </row>
    <row r="178" spans="12:13">
      <c r="L178" s="5"/>
      <c r="M178" s="5"/>
    </row>
    <row r="179" spans="12:13">
      <c r="L179" s="5"/>
      <c r="M179" s="5"/>
    </row>
    <row r="180" spans="12:13">
      <c r="L180" s="5"/>
      <c r="M180" s="5"/>
    </row>
    <row r="181" spans="12:13">
      <c r="L181" s="5"/>
      <c r="M181" s="5"/>
    </row>
    <row r="182" spans="12:13">
      <c r="L182" s="5"/>
      <c r="M182" s="5"/>
    </row>
    <row r="183" spans="12:13">
      <c r="L183" s="5"/>
      <c r="M183" s="5"/>
    </row>
    <row r="184" spans="12:13">
      <c r="L184" s="5"/>
      <c r="M184" s="5"/>
    </row>
    <row r="185" spans="12:13">
      <c r="L185" s="5"/>
      <c r="M185" s="5"/>
    </row>
    <row r="186" spans="12:13">
      <c r="L186" s="5"/>
      <c r="M186" s="5"/>
    </row>
    <row r="187" spans="12:13">
      <c r="L187" s="5"/>
      <c r="M187" s="5"/>
    </row>
    <row r="188" spans="12:13">
      <c r="L188" s="5"/>
      <c r="M188" s="5"/>
    </row>
    <row r="189" spans="12:13">
      <c r="L189" s="5"/>
      <c r="M189" s="5"/>
    </row>
    <row r="190" spans="12:13">
      <c r="L190" s="5"/>
      <c r="M190" s="5"/>
    </row>
    <row r="191" spans="12:13">
      <c r="L191" s="5"/>
      <c r="M191" s="5"/>
    </row>
    <row r="192" spans="12:13">
      <c r="L192" s="5"/>
      <c r="M192" s="5"/>
    </row>
    <row r="193" spans="12:13">
      <c r="L193" s="5"/>
      <c r="M193" s="5"/>
    </row>
    <row r="194" spans="12:13">
      <c r="L194" s="5"/>
      <c r="M194" s="5"/>
    </row>
    <row r="195" spans="12:13">
      <c r="L195" s="5"/>
      <c r="M195" s="5"/>
    </row>
    <row r="196" spans="12:13">
      <c r="L196" s="5"/>
      <c r="M196" s="5"/>
    </row>
    <row r="197" spans="12:13">
      <c r="L197" s="5"/>
      <c r="M197" s="5"/>
    </row>
    <row r="198" spans="12:13">
      <c r="L198" s="5"/>
      <c r="M198" s="5"/>
    </row>
    <row r="199" spans="12:13">
      <c r="L199" s="5"/>
      <c r="M199" s="5"/>
    </row>
    <row r="200" spans="12:13">
      <c r="L200" s="5"/>
      <c r="M200" s="5"/>
    </row>
    <row r="201" spans="12:13">
      <c r="L201" s="5"/>
      <c r="M201" s="5"/>
    </row>
    <row r="202" spans="12:13">
      <c r="L202" s="5"/>
      <c r="M202" s="5"/>
    </row>
    <row r="203" spans="12:13">
      <c r="L203" s="5"/>
      <c r="M203" s="5"/>
    </row>
    <row r="204" spans="12:13">
      <c r="L204" s="5"/>
      <c r="M204" s="5"/>
    </row>
    <row r="205" spans="12:13">
      <c r="L205" s="5"/>
      <c r="M205" s="5"/>
    </row>
    <row r="206" spans="12:13">
      <c r="L206" s="5"/>
      <c r="M206" s="5"/>
    </row>
    <row r="207" spans="12:13">
      <c r="L207" s="5"/>
      <c r="M207" s="5"/>
    </row>
    <row r="208" spans="12:13">
      <c r="L208" s="5"/>
      <c r="M208" s="5"/>
    </row>
    <row r="209" spans="12:13">
      <c r="L209" s="5"/>
      <c r="M209" s="5"/>
    </row>
    <row r="210" spans="12:13">
      <c r="L210" s="5"/>
      <c r="M210" s="5"/>
    </row>
    <row r="211" spans="12:13">
      <c r="L211" s="5"/>
      <c r="M211" s="5"/>
    </row>
    <row r="212" spans="12:13">
      <c r="L212" s="5"/>
      <c r="M212" s="5"/>
    </row>
    <row r="213" spans="12:13">
      <c r="L213" s="5"/>
      <c r="M213" s="5"/>
    </row>
    <row r="214" spans="12:13">
      <c r="L214" s="5"/>
      <c r="M214" s="5"/>
    </row>
    <row r="215" spans="12:13">
      <c r="L215" s="5"/>
      <c r="M215" s="5"/>
    </row>
    <row r="216" spans="12:13">
      <c r="L216" s="5"/>
      <c r="M216" s="5"/>
    </row>
    <row r="217" spans="12:13">
      <c r="L217" s="5"/>
      <c r="M217" s="5"/>
    </row>
    <row r="218" spans="12:13">
      <c r="L218" s="5"/>
      <c r="M218" s="5"/>
    </row>
    <row r="219" spans="12:13">
      <c r="L219" s="5"/>
      <c r="M219" s="5"/>
    </row>
    <row r="220" spans="12:13">
      <c r="L220" s="5"/>
      <c r="M220" s="5"/>
    </row>
    <row r="221" spans="12:13">
      <c r="L221" s="5"/>
      <c r="M221" s="5"/>
    </row>
    <row r="222" spans="12:13">
      <c r="L222" s="5"/>
      <c r="M222" s="5"/>
    </row>
    <row r="223" spans="12:13">
      <c r="L223" s="5"/>
      <c r="M223" s="5"/>
    </row>
    <row r="224" spans="12:13">
      <c r="L224" s="5"/>
      <c r="M224" s="5"/>
    </row>
    <row r="225" spans="12:13">
      <c r="L225" s="5"/>
      <c r="M225" s="5"/>
    </row>
    <row r="226" spans="12:13">
      <c r="L226" s="5"/>
      <c r="M226" s="5"/>
    </row>
    <row r="227" spans="12:13">
      <c r="L227" s="5"/>
      <c r="M227" s="5"/>
    </row>
    <row r="228" spans="12:13">
      <c r="L228" s="5"/>
      <c r="M228" s="5"/>
    </row>
    <row r="229" spans="12:13">
      <c r="L229" s="5"/>
      <c r="M229" s="5"/>
    </row>
    <row r="230" spans="12:13">
      <c r="L230" s="5"/>
      <c r="M230" s="5"/>
    </row>
    <row r="231" spans="12:13">
      <c r="L231" s="5"/>
      <c r="M231" s="5"/>
    </row>
    <row r="232" spans="12:13">
      <c r="L232" s="5"/>
      <c r="M232" s="5"/>
    </row>
    <row r="233" spans="12:13">
      <c r="L233" s="5"/>
      <c r="M233" s="5"/>
    </row>
    <row r="234" spans="12:13">
      <c r="L234" s="5"/>
      <c r="M234" s="5"/>
    </row>
    <row r="235" spans="12:13">
      <c r="L235" s="5"/>
      <c r="M235" s="5"/>
    </row>
    <row r="236" spans="12:13">
      <c r="L236" s="5"/>
      <c r="M236" s="5"/>
    </row>
    <row r="237" spans="12:13">
      <c r="L237" s="5"/>
      <c r="M237" s="5"/>
    </row>
    <row r="238" spans="12:13">
      <c r="L238" s="5"/>
      <c r="M238" s="5"/>
    </row>
    <row r="239" spans="12:13">
      <c r="L239" s="5"/>
      <c r="M239" s="5"/>
    </row>
    <row r="240" spans="12:13">
      <c r="L240" s="5"/>
      <c r="M240" s="5"/>
    </row>
    <row r="241" spans="12:13">
      <c r="L241" s="5"/>
      <c r="M241" s="5"/>
    </row>
    <row r="242" spans="12:13">
      <c r="L242" s="5"/>
      <c r="M242" s="5"/>
    </row>
    <row r="243" spans="12:13">
      <c r="L243" s="5"/>
      <c r="M243" s="5"/>
    </row>
    <row r="244" spans="12:13">
      <c r="L244" s="5"/>
      <c r="M244" s="5"/>
    </row>
    <row r="245" spans="12:13">
      <c r="L245" s="5"/>
      <c r="M245" s="5"/>
    </row>
    <row r="246" spans="12:13">
      <c r="L246" s="5"/>
      <c r="M246" s="5"/>
    </row>
    <row r="247" spans="12:13">
      <c r="L247" s="5"/>
      <c r="M247" s="5"/>
    </row>
    <row r="248" spans="12:13">
      <c r="L248" s="5"/>
      <c r="M248" s="5"/>
    </row>
    <row r="249" spans="12:13">
      <c r="L249" s="5"/>
      <c r="M249" s="5"/>
    </row>
    <row r="250" spans="12:13">
      <c r="L250" s="5"/>
      <c r="M250" s="5"/>
    </row>
    <row r="251" spans="12:13">
      <c r="L251" s="5"/>
      <c r="M251" s="5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Data</vt:lpstr>
      <vt:lpstr>Monthly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יותם פטרפרוינד</dc:creator>
  <cp:lastModifiedBy>גוני צור</cp:lastModifiedBy>
  <dcterms:created xsi:type="dcterms:W3CDTF">2024-02-13T11:30:34Z</dcterms:created>
  <dcterms:modified xsi:type="dcterms:W3CDTF">2025-05-11T13:04:10Z</dcterms:modified>
</cp:coreProperties>
</file>